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12a77de5d81282ce/Documents/"/>
    </mc:Choice>
  </mc:AlternateContent>
  <xr:revisionPtr revIDLastSave="134" documentId="8_{6B009863-C0E1-42B9-A2D1-9E787992B345}" xr6:coauthVersionLast="47" xr6:coauthVersionMax="47" xr10:uidLastSave="{79F6FFE9-D921-43AB-9C39-EB14515EAD47}"/>
  <bookViews>
    <workbookView xWindow="-110" yWindow="-110" windowWidth="19420" windowHeight="11500" tabRatio="879" xr2:uid="{645FDB29-AB9C-4C48-B0CE-4A86774099D7}"/>
  </bookViews>
  <sheets>
    <sheet name="Excel_jumia" sheetId="1" r:id="rId1"/>
    <sheet name="HighReviewProducts" sheetId="10" r:id="rId2"/>
    <sheet name="HighDiscProducts" sheetId="9" r:id="rId3"/>
    <sheet name="HighRated" sheetId="11" r:id="rId4"/>
    <sheet name="LowRated" sheetId="12" r:id="rId5"/>
    <sheet name="Ratings&amp;Reviews{Disc}" sheetId="13" r:id="rId6"/>
    <sheet name="ScatterPlots" sheetId="14" r:id="rId7"/>
    <sheet name="Descriptive Analysis" sheetId="3" r:id="rId8"/>
    <sheet name="Dashboard" sheetId="15" r:id="rId9"/>
  </sheets>
  <definedNames>
    <definedName name="Slicer_Discount_Amount">#N/A</definedName>
    <definedName name="Slicer_Discount_Category">#N/A</definedName>
    <definedName name="Slicer_Price_Range">#N/A</definedName>
    <definedName name="Slicer_Rating_Category">#N/A</definedName>
    <definedName name="Slicer_Review">#N/A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2" i="1"/>
  <c r="G3" i="1"/>
  <c r="H3" i="1" s="1"/>
  <c r="G4" i="1"/>
  <c r="H4" i="1" s="1"/>
  <c r="G5" i="1"/>
  <c r="H5" i="1" s="1"/>
  <c r="G6" i="1"/>
  <c r="H6" i="1" s="1"/>
  <c r="G7" i="1"/>
  <c r="H7" i="1" s="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H20" i="1" s="1"/>
  <c r="G21" i="1"/>
  <c r="H21" i="1" s="1"/>
  <c r="G22" i="1"/>
  <c r="H22" i="1" s="1"/>
  <c r="G23" i="1"/>
  <c r="H23" i="1" s="1"/>
  <c r="G24" i="1"/>
  <c r="H24" i="1" s="1"/>
  <c r="G25" i="1"/>
  <c r="H25" i="1" s="1"/>
  <c r="G26" i="1"/>
  <c r="H26" i="1" s="1"/>
  <c r="G27" i="1"/>
  <c r="H27" i="1" s="1"/>
  <c r="G28" i="1"/>
  <c r="H28" i="1" s="1"/>
  <c r="G29" i="1"/>
  <c r="H29" i="1" s="1"/>
  <c r="G30" i="1"/>
  <c r="H30" i="1" s="1"/>
  <c r="G31" i="1"/>
  <c r="H31" i="1" s="1"/>
  <c r="G32" i="1"/>
  <c r="H32" i="1" s="1"/>
  <c r="G33" i="1"/>
  <c r="H33" i="1" s="1"/>
  <c r="G34" i="1"/>
  <c r="H34" i="1" s="1"/>
  <c r="G35" i="1"/>
  <c r="H35" i="1" s="1"/>
  <c r="G36" i="1"/>
  <c r="H36" i="1" s="1"/>
  <c r="G37" i="1"/>
  <c r="H37" i="1" s="1"/>
  <c r="G38" i="1"/>
  <c r="H38" i="1" s="1"/>
  <c r="G39" i="1"/>
  <c r="H39" i="1" s="1"/>
  <c r="G40" i="1"/>
  <c r="H40" i="1" s="1"/>
  <c r="G41" i="1"/>
  <c r="H41" i="1" s="1"/>
  <c r="G42" i="1"/>
  <c r="H42" i="1" s="1"/>
  <c r="G43" i="1"/>
  <c r="H43" i="1" s="1"/>
  <c r="G44" i="1"/>
  <c r="H44" i="1" s="1"/>
  <c r="G45" i="1"/>
  <c r="H45" i="1" s="1"/>
  <c r="G46" i="1"/>
  <c r="H46" i="1" s="1"/>
  <c r="G47" i="1"/>
  <c r="H47" i="1" s="1"/>
  <c r="G48" i="1"/>
  <c r="H48" i="1" s="1"/>
  <c r="G49" i="1"/>
  <c r="H49" i="1" s="1"/>
  <c r="G50" i="1"/>
  <c r="H50" i="1" s="1"/>
  <c r="G51" i="1"/>
  <c r="H51" i="1" s="1"/>
  <c r="G52" i="1"/>
  <c r="H52" i="1" s="1"/>
  <c r="G53" i="1"/>
  <c r="H53" i="1" s="1"/>
  <c r="G54" i="1"/>
  <c r="H54" i="1" s="1"/>
  <c r="G55" i="1"/>
  <c r="H55" i="1" s="1"/>
  <c r="G56" i="1"/>
  <c r="H56" i="1" s="1"/>
  <c r="G57" i="1"/>
  <c r="H57" i="1" s="1"/>
  <c r="G58" i="1"/>
  <c r="H58" i="1" s="1"/>
  <c r="G59" i="1"/>
  <c r="H59" i="1" s="1"/>
  <c r="G60" i="1"/>
  <c r="H60" i="1" s="1"/>
  <c r="G61" i="1"/>
  <c r="H61" i="1" s="1"/>
  <c r="G62" i="1"/>
  <c r="H62" i="1" s="1"/>
  <c r="G63" i="1"/>
  <c r="H63" i="1" s="1"/>
  <c r="G64" i="1"/>
  <c r="H64" i="1" s="1"/>
  <c r="G65" i="1"/>
  <c r="H65" i="1" s="1"/>
  <c r="G66" i="1"/>
  <c r="H66" i="1" s="1"/>
  <c r="G67" i="1"/>
  <c r="H67" i="1" s="1"/>
  <c r="G68" i="1"/>
  <c r="H68" i="1" s="1"/>
  <c r="G69" i="1"/>
  <c r="H69" i="1" s="1"/>
  <c r="G70" i="1"/>
  <c r="H70" i="1" s="1"/>
  <c r="G71" i="1"/>
  <c r="H71" i="1" s="1"/>
  <c r="G72" i="1"/>
  <c r="H72" i="1" s="1"/>
  <c r="G73" i="1"/>
  <c r="H73" i="1" s="1"/>
  <c r="G74" i="1"/>
  <c r="H74" i="1" s="1"/>
  <c r="G75" i="1"/>
  <c r="H75" i="1" s="1"/>
  <c r="G76" i="1"/>
  <c r="H76" i="1" s="1"/>
  <c r="G77" i="1"/>
  <c r="H77" i="1" s="1"/>
  <c r="G78" i="1"/>
  <c r="H78" i="1" s="1"/>
  <c r="G79" i="1"/>
  <c r="H79" i="1" s="1"/>
  <c r="G80" i="1"/>
  <c r="H80" i="1" s="1"/>
  <c r="G81" i="1"/>
  <c r="H81" i="1" s="1"/>
  <c r="G82" i="1"/>
  <c r="H82" i="1" s="1"/>
  <c r="G83" i="1"/>
  <c r="H83" i="1" s="1"/>
  <c r="G84" i="1"/>
  <c r="H84" i="1" s="1"/>
  <c r="G85" i="1"/>
  <c r="H85" i="1" s="1"/>
  <c r="G86" i="1"/>
  <c r="H86" i="1" s="1"/>
  <c r="G87" i="1"/>
  <c r="H87" i="1" s="1"/>
  <c r="G88" i="1"/>
  <c r="H88" i="1" s="1"/>
  <c r="G89" i="1"/>
  <c r="H89" i="1" s="1"/>
  <c r="G90" i="1"/>
  <c r="H90" i="1" s="1"/>
  <c r="G91" i="1"/>
  <c r="H91" i="1" s="1"/>
  <c r="G92" i="1"/>
  <c r="H92" i="1" s="1"/>
  <c r="G93" i="1"/>
  <c r="H93" i="1" s="1"/>
  <c r="G94" i="1"/>
  <c r="H94" i="1" s="1"/>
  <c r="G95" i="1"/>
  <c r="H95" i="1" s="1"/>
  <c r="G96" i="1"/>
  <c r="H96" i="1" s="1"/>
  <c r="G97" i="1"/>
  <c r="H97" i="1" s="1"/>
  <c r="G98" i="1"/>
  <c r="H98" i="1" s="1"/>
  <c r="G99" i="1"/>
  <c r="H99" i="1" s="1"/>
  <c r="G100" i="1"/>
  <c r="H100" i="1" s="1"/>
  <c r="G101" i="1"/>
  <c r="H101" i="1" s="1"/>
  <c r="G102" i="1"/>
  <c r="H102" i="1" s="1"/>
  <c r="G103" i="1"/>
  <c r="H103" i="1" s="1"/>
  <c r="G104" i="1"/>
  <c r="H104" i="1" s="1"/>
  <c r="G105" i="1"/>
  <c r="H105" i="1" s="1"/>
  <c r="G106" i="1"/>
  <c r="H106" i="1" s="1"/>
  <c r="G107" i="1"/>
  <c r="H107" i="1" s="1"/>
  <c r="G108" i="1"/>
  <c r="H108" i="1" s="1"/>
  <c r="G109" i="1"/>
  <c r="H109" i="1" s="1"/>
  <c r="G110" i="1"/>
  <c r="H110" i="1" s="1"/>
  <c r="G111" i="1"/>
  <c r="H111" i="1" s="1"/>
  <c r="G112" i="1"/>
  <c r="H112" i="1" s="1"/>
  <c r="G113" i="1"/>
  <c r="H113" i="1" s="1"/>
  <c r="G2" i="1"/>
  <c r="H2" i="1" s="1"/>
</calcChain>
</file>

<file path=xl/sharedStrings.xml><?xml version="1.0" encoding="utf-8"?>
<sst xmlns="http://schemas.openxmlformats.org/spreadsheetml/2006/main" count="309" uniqueCount="141">
  <si>
    <t>Product</t>
  </si>
  <si>
    <t>Current price</t>
  </si>
  <si>
    <t>Discount</t>
  </si>
  <si>
    <t>Review</t>
  </si>
  <si>
    <t>Ratingd</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</si>
  <si>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</si>
  <si>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</si>
  <si>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</si>
  <si>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</si>
  <si>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</si>
  <si>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</si>
  <si>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</si>
  <si>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</si>
  <si>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</si>
  <si>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</si>
  <si>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</si>
  <si>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</si>
  <si>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</si>
  <si>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</si>
  <si>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</si>
  <si>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</si>
  <si>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</si>
  <si>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</si>
  <si>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</si>
  <si>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</si>
  <si>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</si>
  <si>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</si>
  <si>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</si>
  <si>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</si>
  <si>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</si>
  <si>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</si>
  <si>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</si>
  <si>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</si>
  <si>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</si>
  <si>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</si>
  <si>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</si>
  <si>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</si>
  <si>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</si>
  <si>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</si>
  <si>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</si>
  <si>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</si>
  <si>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</si>
  <si>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</si>
  <si>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</si>
  <si>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</si>
  <si>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</si>
  <si>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</si>
  <si>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</si>
  <si>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</si>
  <si>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</si>
  <si>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</si>
  <si>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</si>
  <si>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</si>
  <si>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</si>
  <si>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</si>
  <si>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</si>
  <si>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</si>
  <si>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</si>
  <si>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</si>
  <si>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</si>
  <si>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</si>
  <si>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</si>
  <si>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</si>
  <si>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</si>
  <si>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</si>
  <si>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</si>
  <si>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</si>
  <si>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</si>
  <si>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</si>
  <si>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</si>
  <si>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</si>
  <si>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</si>
  <si>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</si>
  <si>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</si>
  <si>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</si>
  <si>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</si>
  <si>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</si>
  <si>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</si>
  <si>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</si>
  <si>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</si>
  <si>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</si>
  <si>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</si>
  <si>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</si>
  <si>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</si>
  <si>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</si>
  <si>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</si>
  <si>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</si>
  <si>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</si>
  <si>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</si>
  <si>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</si>
  <si>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</si>
  <si>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</si>
  <si>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</si>
  <si>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</si>
  <si>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</si>
  <si>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</si>
  <si>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</si>
  <si>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</si>
  <si>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</si>
  <si>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</si>
  <si>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</si>
  <si>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</si>
  <si>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</si>
  <si>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</si>
  <si>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</si>
  <si>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</si>
  <si>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</si>
  <si>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</si>
  <si>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</si>
  <si>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</si>
  <si>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</si>
  <si>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</si>
  <si>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</si>
  <si>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</si>
  <si>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Old price</t>
  </si>
  <si>
    <t>null</t>
  </si>
  <si>
    <t>Clean Discount</t>
  </si>
  <si>
    <t>Discount Amount</t>
  </si>
  <si>
    <t>Rating Category</t>
  </si>
  <si>
    <t>Discount Category</t>
  </si>
  <si>
    <t>Row Labels</t>
  </si>
  <si>
    <t>Grand Total</t>
  </si>
  <si>
    <t>Average of Current price</t>
  </si>
  <si>
    <t>Average of Old price</t>
  </si>
  <si>
    <t>Average of Clean Discount</t>
  </si>
  <si>
    <t>Average of Ratingd</t>
  </si>
  <si>
    <t>High</t>
  </si>
  <si>
    <t>Low</t>
  </si>
  <si>
    <t>Medium</t>
  </si>
  <si>
    <t>Average</t>
  </si>
  <si>
    <t>Excellent</t>
  </si>
  <si>
    <t>Poor</t>
  </si>
  <si>
    <t>Count of Product</t>
  </si>
  <si>
    <t>Sum of Discount Amount</t>
  </si>
  <si>
    <t>Sum of Review</t>
  </si>
  <si>
    <t>(blank)</t>
  </si>
  <si>
    <t>Count of Review</t>
  </si>
  <si>
    <t>Price Range</t>
  </si>
  <si>
    <t>High Price</t>
  </si>
  <si>
    <t>Low Price</t>
  </si>
  <si>
    <t>Medium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</si>
</sst>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4"/>
      <name val="Calibri"/>
      <family val="2"/>
      <scheme val="minor"/>
    </font>
    <font>
      <sz val="11"/>
      <color theme="9" tint="0.7999816888943144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9" fontId="0" fillId="0" borderId="0" xfId="0" applyNumberFormat="1"/>
    <xf numFmtId="0" fontId="18" fillId="0" borderId="0" xfId="0" applyFont="1"/>
    <xf numFmtId="1" fontId="18" fillId="0" borderId="0" xfId="0" applyNumberFormat="1" applyFont="1"/>
    <xf numFmtId="1" fontId="0" fillId="0" borderId="0" xfId="0" applyNumberFormat="1"/>
    <xf numFmtId="164" fontId="18" fillId="0" borderId="0" xfId="0" applyNumberFormat="1" applyFont="1"/>
    <xf numFmtId="164" fontId="0" fillId="0" borderId="0" xfId="0" applyNumberFormat="1"/>
    <xf numFmtId="9" fontId="18" fillId="0" borderId="0" xfId="1" applyFont="1"/>
    <xf numFmtId="9" fontId="0" fillId="0" borderId="0" xfId="1" applyFont="1"/>
    <xf numFmtId="0" fontId="0" fillId="0" borderId="0" xfId="0" pivotButton="1"/>
    <xf numFmtId="0" fontId="0" fillId="0" borderId="0" xfId="0" applyAlignment="1">
      <alignment horizontal="left"/>
    </xf>
    <xf numFmtId="0" fontId="19" fillId="33" borderId="0" xfId="0" applyFont="1" applyFill="1"/>
    <xf numFmtId="2"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numFmt numFmtId="2" formatCode="0.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[Excel_jumia.csv.xlsx]HighReviewProducts!PivotTable2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6"/>
                </a:solidFill>
              </a:rPr>
              <a:t>Top</a:t>
            </a:r>
            <a:r>
              <a:rPr lang="en-US" sz="1800" b="1" baseline="0">
                <a:solidFill>
                  <a:schemeClr val="accent6"/>
                </a:solidFill>
              </a:rPr>
              <a:t> Products By Reviews</a:t>
            </a:r>
            <a:endParaRPr lang="en-US" sz="1800" b="1">
              <a:solidFill>
                <a:schemeClr val="accent6"/>
              </a:solidFill>
            </a:endParaRPr>
          </a:p>
        </c:rich>
      </c:tx>
      <c:layout>
        <c:manualLayout>
          <c:xMode val="edge"/>
          <c:yMode val="edge"/>
          <c:x val="0.19824300087489063"/>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HighReviewProducts!$B$3</c:f>
              <c:strCache>
                <c:ptCount val="1"/>
                <c:pt idx="0">
                  <c:v>Total</c:v>
                </c:pt>
              </c:strCache>
            </c:strRef>
          </c:tx>
          <c:spPr>
            <a:solidFill>
              <a:schemeClr val="accent1"/>
            </a:solidFill>
            <a:ln>
              <a:noFill/>
            </a:ln>
            <a:effectLst/>
          </c:spPr>
          <c:invertIfNegative val="0"/>
          <c:cat>
            <c:strRef>
              <c:f>HighReviewProducts!$A$4:$A$11</c:f>
              <c:strCache>
                <c:ptCount val="7"/>
                <c:pt idx="0">
                  <c:v>13 In 1 Home Repair Tools Box Kit Set</c:v>
                </c:pt>
                <c:pt idx="1">
                  <c:v>7-piece Set Of Storage Bags, Travel Storage Bags, Shoe Bags</c:v>
                </c:pt>
                <c:pt idx="2">
                  <c:v>Agapeon Toothbrush Holder And Toothpaste Dispenser</c:v>
                </c:pt>
                <c:pt idx="3">
                  <c:v>LASA FOLDING TABLE SERVING STAND</c:v>
                </c:pt>
                <c:pt idx="4">
                  <c:v>LED Wall Digital Alarm Clock Study Home 12 / 24H Clock Calendar</c:v>
                </c:pt>
                <c:pt idx="5">
                  <c:v>Portable Home Small Air Humidifier 3-Speed Fan - Green</c:v>
                </c:pt>
                <c:pt idx="6">
                  <c:v>Watercolour Gold Foil Textured Print Pillow Cover</c:v>
                </c:pt>
              </c:strCache>
            </c:strRef>
          </c:cat>
          <c:val>
            <c:numRef>
              <c:f>HighReviewProducts!$B$4:$B$11</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6638-40F1-86AD-1B1CD781E16A}"/>
            </c:ext>
          </c:extLst>
        </c:ser>
        <c:dLbls>
          <c:showLegendKey val="0"/>
          <c:showVal val="0"/>
          <c:showCatName val="0"/>
          <c:showSerName val="0"/>
          <c:showPercent val="0"/>
          <c:showBubbleSize val="0"/>
        </c:dLbls>
        <c:gapWidth val="182"/>
        <c:axId val="694442480"/>
        <c:axId val="688602032"/>
      </c:barChart>
      <c:catAx>
        <c:axId val="69444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02032"/>
        <c:crosses val="autoZero"/>
        <c:auto val="1"/>
        <c:lblAlgn val="ctr"/>
        <c:lblOffset val="100"/>
        <c:noMultiLvlLbl val="0"/>
      </c:catAx>
      <c:valAx>
        <c:axId val="688602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44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[Excel_jumia.csv.xlsx]HighDiscProducts!PivotTable1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High</a:t>
            </a:r>
            <a:r>
              <a:rPr lang="en-US" sz="1800" b="1" baseline="0">
                <a:solidFill>
                  <a:schemeClr val="accent1"/>
                </a:solidFill>
              </a:rPr>
              <a:t> Discount Products</a:t>
            </a:r>
            <a:endParaRPr lang="en-US" sz="1800" b="1">
              <a:solidFill>
                <a:schemeClr val="accent1"/>
              </a:solidFill>
            </a:endParaRPr>
          </a:p>
        </c:rich>
      </c:tx>
      <c:layout>
        <c:manualLayout>
          <c:xMode val="edge"/>
          <c:yMode val="edge"/>
          <c:x val="0.23000000000000004"/>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HighDiscProducts!$B$3</c:f>
              <c:strCache>
                <c:ptCount val="1"/>
                <c:pt idx="0">
                  <c:v>Total</c:v>
                </c:pt>
              </c:strCache>
            </c:strRef>
          </c:tx>
          <c:spPr>
            <a:solidFill>
              <a:schemeClr val="accent6"/>
            </a:solidFill>
            <a:ln>
              <a:noFill/>
            </a:ln>
            <a:effectLst/>
          </c:spPr>
          <c:invertIfNegative val="0"/>
          <c:cat>
            <c:strRef>
              <c:f>HighDiscProducts!$A$4:$A$14</c:f>
              <c:strCache>
                <c:ptCount val="10"/>
                <c:pt idx="0">
                  <c:v>1/2/3 Seater Elastic Sofa Cover,Living Room/Home Decor Chair Cover-Grey</c:v>
                </c:pt>
                <c:pt idx="1">
                  <c:v>120W Cordless Vacuum Cleaners Handheld Electric Vacuum Cleaner</c:v>
                </c:pt>
                <c:pt idx="2">
                  <c:v>2PCS/LOT Solar LED Outdoor Intelligent Light Controlled Wall Lamp</c:v>
                </c:pt>
                <c:pt idx="3">
                  <c:v>Agapeon Toothbrush Holder And Toothpaste Dispenser</c:v>
                </c:pt>
                <c:pt idx="4">
                  <c:v>LASA 3 Tier Bamboo Shoe Bench Storage Shelf</c:v>
                </c:pt>
                <c:pt idx="5">
                  <c:v>LASA Aluminum Folding Truck Hand Cart - 68kg Max</c:v>
                </c:pt>
                <c:pt idx="6">
                  <c:v>LASA FOLDING TABLE SERVING STAND</c:v>
                </c:pt>
                <c:pt idx="7">
                  <c:v>LASA Stainless Steel Double Wall Mount Soap Dispenser - 500ml</c:v>
                </c:pt>
                <c:pt idx="8">
                  <c:v>LED Eye Protection  Desk Lamp , Study, Reading, USB Fan - Double Pen Holder</c:v>
                </c:pt>
                <c:pt idx="9">
                  <c:v>MultiFunctional Storage Rack Multi-layer Bookshelf</c:v>
                </c:pt>
              </c:strCache>
            </c:strRef>
          </c:cat>
          <c:val>
            <c:numRef>
              <c:f>HighDiscProducts!$B$4:$B$14</c:f>
              <c:numCache>
                <c:formatCode>0</c:formatCode>
                <c:ptCount val="10"/>
                <c:pt idx="0">
                  <c:v>1400</c:v>
                </c:pt>
                <c:pt idx="1">
                  <c:v>2585</c:v>
                </c:pt>
                <c:pt idx="2">
                  <c:v>1418</c:v>
                </c:pt>
                <c:pt idx="3">
                  <c:v>2393</c:v>
                </c:pt>
                <c:pt idx="4">
                  <c:v>2452</c:v>
                </c:pt>
                <c:pt idx="5">
                  <c:v>1946</c:v>
                </c:pt>
                <c:pt idx="6">
                  <c:v>1526</c:v>
                </c:pt>
                <c:pt idx="7">
                  <c:v>1721</c:v>
                </c:pt>
                <c:pt idx="8">
                  <c:v>1670</c:v>
                </c:pt>
                <c:pt idx="9">
                  <c:v>1880</c:v>
                </c:pt>
              </c:numCache>
            </c:numRef>
          </c:val>
          <c:extLst>
            <c:ext xmlns:c16="http://schemas.microsoft.com/office/drawing/2014/chart" uri="{C3380CC4-5D6E-409C-BE32-E72D297353CC}">
              <c16:uniqueId val="{00000000-7311-4163-B594-7CAB5103B72B}"/>
            </c:ext>
          </c:extLst>
        </c:ser>
        <c:dLbls>
          <c:showLegendKey val="0"/>
          <c:showVal val="0"/>
          <c:showCatName val="0"/>
          <c:showSerName val="0"/>
          <c:showPercent val="0"/>
          <c:showBubbleSize val="0"/>
        </c:dLbls>
        <c:gapWidth val="182"/>
        <c:axId val="751262848"/>
        <c:axId val="751261768"/>
      </c:barChart>
      <c:catAx>
        <c:axId val="75126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261768"/>
        <c:crosses val="autoZero"/>
        <c:auto val="1"/>
        <c:lblAlgn val="ctr"/>
        <c:lblOffset val="100"/>
        <c:noMultiLvlLbl val="0"/>
      </c:catAx>
      <c:valAx>
        <c:axId val="7512617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26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[Excel_jumia.csv.xlsx]HighRated!PivotTable3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Top</a:t>
            </a:r>
            <a:r>
              <a:rPr lang="en-US" sz="1800" b="1" baseline="0">
                <a:solidFill>
                  <a:schemeClr val="accent1"/>
                </a:solidFill>
              </a:rPr>
              <a:t> Products by Rating</a:t>
            </a:r>
            <a:endParaRPr lang="en-US" sz="1800" b="1">
              <a:solidFill>
                <a:schemeClr val="accent1"/>
              </a:solidFill>
            </a:endParaRPr>
          </a:p>
        </c:rich>
      </c:tx>
      <c:layout>
        <c:manualLayout>
          <c:xMode val="edge"/>
          <c:yMode val="edge"/>
          <c:x val="0.18552046974701497"/>
          <c:y val="0.126265108581172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HighRated!$B$3</c:f>
              <c:strCache>
                <c:ptCount val="1"/>
                <c:pt idx="0">
                  <c:v>Total</c:v>
                </c:pt>
              </c:strCache>
            </c:strRef>
          </c:tx>
          <c:spPr>
            <a:solidFill>
              <a:schemeClr val="accent1"/>
            </a:solidFill>
            <a:ln>
              <a:noFill/>
            </a:ln>
            <a:effectLst/>
          </c:spPr>
          <c:invertIfNegative val="0"/>
          <c:cat>
            <c:strRef>
              <c:f>HighRated!$A$4:$A$11</c:f>
              <c:strCache>
                <c:ptCount val="7"/>
                <c:pt idx="0">
                  <c:v>1PC Refrigerator Food Seal Pocket Fridge Bags</c:v>
                </c:pt>
                <c:pt idx="1">
                  <c:v>5m Waterproof Spherical LED String Lights Outdoor Ball Chain Lights Party Lighting Decoration Adjustable</c:v>
                </c:pt>
                <c:pt idx="2">
                  <c:v>Anti-Skid Absorbent Insulation Coaster  For Home Office</c:v>
                </c:pt>
                <c:pt idx="3">
                  <c:v>Classic Black Cat Cotton Hemp Pillow Case For Home Car</c:v>
                </c:pt>
                <c:pt idx="4">
                  <c:v>DIY File Folder, Office Drawer File Holder, Pen Holder, Desktop Storage Rack</c:v>
                </c:pt>
                <c:pt idx="5">
                  <c:v>LASA Aluminum Folding Truck Hand Cart - 68kg Max</c:v>
                </c:pt>
                <c:pt idx="6">
                  <c:v>Peacock  Throw Pillow Cushion Case For Home Car</c:v>
                </c:pt>
              </c:strCache>
            </c:strRef>
          </c:cat>
          <c:val>
            <c:numRef>
              <c:f>HighRated!$B$4:$B$11</c:f>
              <c:numCache>
                <c:formatCode>0.0</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E0DA-41A0-BCCF-B7EF2509544C}"/>
            </c:ext>
          </c:extLst>
        </c:ser>
        <c:dLbls>
          <c:showLegendKey val="0"/>
          <c:showVal val="0"/>
          <c:showCatName val="0"/>
          <c:showSerName val="0"/>
          <c:showPercent val="0"/>
          <c:showBubbleSize val="0"/>
        </c:dLbls>
        <c:gapWidth val="182"/>
        <c:axId val="690796408"/>
        <c:axId val="690793888"/>
      </c:barChart>
      <c:catAx>
        <c:axId val="690796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93888"/>
        <c:crosses val="autoZero"/>
        <c:auto val="1"/>
        <c:lblAlgn val="ctr"/>
        <c:lblOffset val="100"/>
        <c:noMultiLvlLbl val="0"/>
      </c:catAx>
      <c:valAx>
        <c:axId val="69079388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96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[Excel_jumia.csv.xlsx]Ratings&amp;Reviews{Disc}!PivotTable5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rPr>
              <a:t>Ratings</a:t>
            </a:r>
            <a:r>
              <a:rPr lang="en-US" sz="1600" b="1" baseline="0">
                <a:solidFill>
                  <a:schemeClr val="accent2"/>
                </a:solidFill>
              </a:rPr>
              <a:t> and Reviews by Discount Category</a:t>
            </a:r>
            <a:endParaRPr lang="en-US" sz="1600"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'Ratings&amp;Reviews{Disc}'!$B$3</c:f>
              <c:strCache>
                <c:ptCount val="1"/>
                <c:pt idx="0">
                  <c:v>Average of Ratingd</c:v>
                </c:pt>
              </c:strCache>
            </c:strRef>
          </c:tx>
          <c:spPr>
            <a:solidFill>
              <a:schemeClr val="accent1"/>
            </a:solidFill>
            <a:ln>
              <a:noFill/>
            </a:ln>
            <a:effectLst/>
          </c:spPr>
          <c:invertIfNegative val="0"/>
          <c:cat>
            <c:strRef>
              <c:f>'Ratings&amp;Reviews{Disc}'!$A$4:$A$7</c:f>
              <c:strCache>
                <c:ptCount val="3"/>
                <c:pt idx="0">
                  <c:v>High</c:v>
                </c:pt>
                <c:pt idx="1">
                  <c:v>Low</c:v>
                </c:pt>
                <c:pt idx="2">
                  <c:v>Medium</c:v>
                </c:pt>
              </c:strCache>
            </c:strRef>
          </c:cat>
          <c:val>
            <c:numRef>
              <c:f>'Ratings&amp;Reviews{Disc}'!$B$4:$B$7</c:f>
              <c:numCache>
                <c:formatCode>General</c:formatCode>
                <c:ptCount val="3"/>
                <c:pt idx="0">
                  <c:v>3.6133333333333324</c:v>
                </c:pt>
                <c:pt idx="1">
                  <c:v>3.7249999999999996</c:v>
                </c:pt>
                <c:pt idx="2">
                  <c:v>4.2782608695652184</c:v>
                </c:pt>
              </c:numCache>
            </c:numRef>
          </c:val>
          <c:extLst>
            <c:ext xmlns:c16="http://schemas.microsoft.com/office/drawing/2014/chart" uri="{C3380CC4-5D6E-409C-BE32-E72D297353CC}">
              <c16:uniqueId val="{00000000-4B3C-4D28-ABAB-C2EF0198BD7B}"/>
            </c:ext>
          </c:extLst>
        </c:ser>
        <c:ser>
          <c:idx val="1"/>
          <c:order val="1"/>
          <c:tx>
            <c:strRef>
              <c:f>'Ratings&amp;Reviews{Disc}'!$C$3</c:f>
              <c:strCache>
                <c:ptCount val="1"/>
                <c:pt idx="0">
                  <c:v>Count of Review</c:v>
                </c:pt>
              </c:strCache>
            </c:strRef>
          </c:tx>
          <c:spPr>
            <a:solidFill>
              <a:schemeClr val="accent2"/>
            </a:solidFill>
            <a:ln>
              <a:noFill/>
            </a:ln>
            <a:effectLst/>
          </c:spPr>
          <c:invertIfNegative val="0"/>
          <c:cat>
            <c:strRef>
              <c:f>'Ratings&amp;Reviews{Disc}'!$A$4:$A$7</c:f>
              <c:strCache>
                <c:ptCount val="3"/>
                <c:pt idx="0">
                  <c:v>High</c:v>
                </c:pt>
                <c:pt idx="1">
                  <c:v>Low</c:v>
                </c:pt>
                <c:pt idx="2">
                  <c:v>Medium</c:v>
                </c:pt>
              </c:strCache>
            </c:strRef>
          </c:cat>
          <c:val>
            <c:numRef>
              <c:f>'Ratings&amp;Reviews{Disc}'!$C$4:$C$7</c:f>
              <c:numCache>
                <c:formatCode>General</c:formatCode>
                <c:ptCount val="3"/>
                <c:pt idx="0">
                  <c:v>62</c:v>
                </c:pt>
                <c:pt idx="1">
                  <c:v>18</c:v>
                </c:pt>
                <c:pt idx="2">
                  <c:v>32</c:v>
                </c:pt>
              </c:numCache>
            </c:numRef>
          </c:val>
          <c:extLst>
            <c:ext xmlns:c16="http://schemas.microsoft.com/office/drawing/2014/chart" uri="{C3380CC4-5D6E-409C-BE32-E72D297353CC}">
              <c16:uniqueId val="{00000001-4B3C-4D28-ABAB-C2EF0198BD7B}"/>
            </c:ext>
          </c:extLst>
        </c:ser>
        <c:dLbls>
          <c:showLegendKey val="0"/>
          <c:showVal val="0"/>
          <c:showCatName val="0"/>
          <c:showSerName val="0"/>
          <c:showPercent val="0"/>
          <c:showBubbleSize val="0"/>
        </c:dLbls>
        <c:gapWidth val="219"/>
        <c:overlap val="-27"/>
        <c:axId val="361504736"/>
        <c:axId val="361505096"/>
      </c:barChart>
      <c:catAx>
        <c:axId val="36150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05096"/>
        <c:crosses val="autoZero"/>
        <c:auto val="1"/>
        <c:lblAlgn val="ctr"/>
        <c:lblOffset val="100"/>
        <c:noMultiLvlLbl val="0"/>
      </c:catAx>
      <c:valAx>
        <c:axId val="361505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0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alpha val="6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Discount</a:t>
            </a:r>
            <a:r>
              <a:rPr lang="en-US" b="1" baseline="0">
                <a:solidFill>
                  <a:schemeClr val="accent2"/>
                </a:solidFill>
              </a:rPr>
              <a:t> % versus Number of Reviews</a:t>
            </a:r>
            <a:endParaRPr lang="en-US" b="1">
              <a:solidFill>
                <a:schemeClr val="accent2"/>
              </a:solidFill>
            </a:endParaRPr>
          </a:p>
        </c:rich>
      </c:tx>
      <c:layout>
        <c:manualLayout>
          <c:xMode val="edge"/>
          <c:yMode val="edge"/>
          <c:x val="0.16065427509293681"/>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Excel_jumia!$I$1</c:f>
              <c:strCache>
                <c:ptCount val="1"/>
                <c:pt idx="0">
                  <c:v>Review</c:v>
                </c:pt>
              </c:strCache>
            </c:strRef>
          </c:tx>
          <c:spPr>
            <a:ln w="19050" cap="rnd">
              <a:solidFill>
                <a:schemeClr val="accent1"/>
              </a:solidFill>
              <a:round/>
            </a:ln>
            <a:effectLst/>
          </c:spPr>
          <c:marker>
            <c:symbol val="none"/>
          </c:marker>
          <c:xVal>
            <c:numRef>
              <c:f>Excel_jumia!$G$2:$G$113</c:f>
              <c:numCache>
                <c:formatCode>0%</c:formatCode>
                <c:ptCount val="112"/>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Excel_jumia!$I$2:$I$113</c:f>
              <c:numCache>
                <c:formatCode>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1"/>
          <c:extLst>
            <c:ext xmlns:c16="http://schemas.microsoft.com/office/drawing/2014/chart" uri="{C3380CC4-5D6E-409C-BE32-E72D297353CC}">
              <c16:uniqueId val="{00000000-8513-4248-A6A9-5980D8875082}"/>
            </c:ext>
          </c:extLst>
        </c:ser>
        <c:dLbls>
          <c:showLegendKey val="0"/>
          <c:showVal val="0"/>
          <c:showCatName val="0"/>
          <c:showSerName val="0"/>
          <c:showPercent val="0"/>
          <c:showBubbleSize val="0"/>
        </c:dLbls>
        <c:axId val="655236872"/>
        <c:axId val="655230752"/>
      </c:scatterChart>
      <c:valAx>
        <c:axId val="6552368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Discount[%]</a:t>
                </a:r>
              </a:p>
              <a:p>
                <a:pPr>
                  <a:defRPr/>
                </a:pPr>
                <a:endParaRPr lang="en-US"/>
              </a:p>
            </c:rich>
          </c:tx>
          <c:layout>
            <c:manualLayout>
              <c:xMode val="edge"/>
              <c:yMode val="edge"/>
              <c:x val="0.42559383202099749"/>
              <c:y val="0.849349918216744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30752"/>
        <c:crosses val="autoZero"/>
        <c:crossBetween val="midCat"/>
      </c:valAx>
      <c:valAx>
        <c:axId val="655230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Review</a:t>
                </a:r>
              </a:p>
            </c:rich>
          </c:tx>
          <c:layout>
            <c:manualLayout>
              <c:xMode val="edge"/>
              <c:yMode val="edge"/>
              <c:x val="1.9444444444444445E-2"/>
              <c:y val="0.36504811898512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368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6">
                    <a:lumMod val="75000"/>
                  </a:schemeClr>
                </a:solidFill>
              </a:rPr>
              <a:t>Rating</a:t>
            </a:r>
            <a:r>
              <a:rPr lang="en-US" sz="1800" b="1" baseline="0">
                <a:solidFill>
                  <a:schemeClr val="accent6">
                    <a:lumMod val="75000"/>
                  </a:schemeClr>
                </a:solidFill>
              </a:rPr>
              <a:t> versus Number of Reviews</a:t>
            </a:r>
          </a:p>
          <a:p>
            <a:pPr>
              <a:defRPr/>
            </a:pPr>
            <a:endParaRPr lang="en-US"/>
          </a:p>
        </c:rich>
      </c:tx>
      <c:layout>
        <c:manualLayout>
          <c:xMode val="edge"/>
          <c:yMode val="edge"/>
          <c:x val="0.10169126558384291"/>
          <c:y val="3.05934404772897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Excel_jumia!$J$1</c:f>
              <c:strCache>
                <c:ptCount val="1"/>
                <c:pt idx="0">
                  <c:v>Ratingd</c:v>
                </c:pt>
              </c:strCache>
            </c:strRef>
          </c:tx>
          <c:spPr>
            <a:ln w="19050" cap="rnd">
              <a:solidFill>
                <a:schemeClr val="accent1"/>
              </a:solidFill>
              <a:round/>
            </a:ln>
            <a:effectLst/>
          </c:spPr>
          <c:marker>
            <c:symbol val="none"/>
          </c:marker>
          <c:xVal>
            <c:strRef>
              <c:f>Excel_jumia!$I$2:$I$113</c:f>
              <c:strCach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null</c:v>
                </c:pt>
                <c:pt idx="22">
                  <c:v>6</c:v>
                </c:pt>
                <c:pt idx="23">
                  <c:v>14</c:v>
                </c:pt>
                <c:pt idx="24">
                  <c:v>7</c:v>
                </c:pt>
                <c:pt idx="25">
                  <c:v>49</c:v>
                </c:pt>
                <c:pt idx="26">
                  <c:v>12</c:v>
                </c:pt>
                <c:pt idx="27">
                  <c:v>13</c:v>
                </c:pt>
                <c:pt idx="28">
                  <c:v>20</c:v>
                </c:pt>
                <c:pt idx="29">
                  <c:v>null</c:v>
                </c:pt>
                <c:pt idx="30">
                  <c:v>9</c:v>
                </c:pt>
                <c:pt idx="31">
                  <c:v>12</c:v>
                </c:pt>
                <c:pt idx="32">
                  <c:v>9</c:v>
                </c:pt>
                <c:pt idx="33">
                  <c:v>20</c:v>
                </c:pt>
                <c:pt idx="34">
                  <c:v>32</c:v>
                </c:pt>
                <c:pt idx="35">
                  <c:v>1</c:v>
                </c:pt>
                <c:pt idx="36">
                  <c:v>2</c:v>
                </c:pt>
                <c:pt idx="37">
                  <c:v>36</c:v>
                </c:pt>
                <c:pt idx="38">
                  <c:v>2</c:v>
                </c:pt>
                <c:pt idx="39">
                  <c:v>null</c:v>
                </c:pt>
                <c:pt idx="40">
                  <c:v>null</c:v>
                </c:pt>
                <c:pt idx="41">
                  <c:v>null</c:v>
                </c:pt>
                <c:pt idx="42">
                  <c:v>null</c:v>
                </c:pt>
                <c:pt idx="43">
                  <c:v>null</c:v>
                </c:pt>
                <c:pt idx="44">
                  <c:v>null</c:v>
                </c:pt>
                <c:pt idx="45">
                  <c:v>null</c:v>
                </c:pt>
                <c:pt idx="46">
                  <c:v>null</c:v>
                </c:pt>
                <c:pt idx="47">
                  <c:v>null</c:v>
                </c:pt>
                <c:pt idx="48">
                  <c:v>null</c:v>
                </c:pt>
                <c:pt idx="49">
                  <c:v>null</c:v>
                </c:pt>
                <c:pt idx="50">
                  <c:v>null</c:v>
                </c:pt>
                <c:pt idx="51">
                  <c:v>null</c:v>
                </c:pt>
                <c:pt idx="52">
                  <c:v>null</c:v>
                </c:pt>
                <c:pt idx="53">
                  <c:v>null</c:v>
                </c:pt>
                <c:pt idx="54">
                  <c:v>null</c:v>
                </c:pt>
                <c:pt idx="55">
                  <c:v>null</c:v>
                </c:pt>
                <c:pt idx="56">
                  <c:v>null</c:v>
                </c:pt>
                <c:pt idx="57">
                  <c:v>null</c:v>
                </c:pt>
                <c:pt idx="58">
                  <c:v>null</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null</c:v>
                </c:pt>
                <c:pt idx="75">
                  <c:v>null</c:v>
                </c:pt>
                <c:pt idx="76">
                  <c:v>null</c:v>
                </c:pt>
                <c:pt idx="77">
                  <c:v>null</c:v>
                </c:pt>
                <c:pt idx="78">
                  <c:v>1</c:v>
                </c:pt>
                <c:pt idx="79">
                  <c:v>1</c:v>
                </c:pt>
                <c:pt idx="80">
                  <c:v>null</c:v>
                </c:pt>
                <c:pt idx="81">
                  <c:v>null</c:v>
                </c:pt>
                <c:pt idx="82">
                  <c:v>1</c:v>
                </c:pt>
                <c:pt idx="83">
                  <c:v>null</c:v>
                </c:pt>
                <c:pt idx="84">
                  <c:v>null</c:v>
                </c:pt>
                <c:pt idx="85">
                  <c:v>null</c:v>
                </c:pt>
                <c:pt idx="86">
                  <c:v>null</c:v>
                </c:pt>
                <c:pt idx="87">
                  <c:v>null</c:v>
                </c:pt>
                <c:pt idx="88">
                  <c:v>null</c:v>
                </c:pt>
                <c:pt idx="89">
                  <c:v>null</c:v>
                </c:pt>
                <c:pt idx="90">
                  <c:v>null</c:v>
                </c:pt>
                <c:pt idx="91">
                  <c:v>null</c:v>
                </c:pt>
                <c:pt idx="92">
                  <c:v>null</c:v>
                </c:pt>
                <c:pt idx="93">
                  <c:v>null</c:v>
                </c:pt>
                <c:pt idx="94">
                  <c:v>null</c:v>
                </c:pt>
                <c:pt idx="95">
                  <c:v>null</c:v>
                </c:pt>
                <c:pt idx="96">
                  <c:v>null</c:v>
                </c:pt>
                <c:pt idx="97">
                  <c:v>null</c:v>
                </c:pt>
                <c:pt idx="98">
                  <c:v>null</c:v>
                </c:pt>
                <c:pt idx="99">
                  <c:v>null</c:v>
                </c:pt>
                <c:pt idx="100">
                  <c:v>null</c:v>
                </c:pt>
                <c:pt idx="101">
                  <c:v>1</c:v>
                </c:pt>
                <c:pt idx="102">
                  <c:v>null</c:v>
                </c:pt>
                <c:pt idx="103">
                  <c:v>null</c:v>
                </c:pt>
                <c:pt idx="104">
                  <c:v>null</c:v>
                </c:pt>
                <c:pt idx="105">
                  <c:v>null</c:v>
                </c:pt>
                <c:pt idx="106">
                  <c:v>null</c:v>
                </c:pt>
                <c:pt idx="107">
                  <c:v>null</c:v>
                </c:pt>
                <c:pt idx="108">
                  <c:v>null</c:v>
                </c:pt>
                <c:pt idx="109">
                  <c:v>null</c:v>
                </c:pt>
                <c:pt idx="110">
                  <c:v>1</c:v>
                </c:pt>
                <c:pt idx="111">
                  <c:v>null</c:v>
                </c:pt>
              </c:strCache>
            </c:strRef>
          </c:xVal>
          <c:yVal>
            <c:numRef>
              <c:f>Excel_jumia!$J$2:$J$113</c:f>
              <c:numCache>
                <c:formatCode>0.0</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1"/>
          <c:extLst>
            <c:ext xmlns:c16="http://schemas.microsoft.com/office/drawing/2014/chart" uri="{C3380CC4-5D6E-409C-BE32-E72D297353CC}">
              <c16:uniqueId val="{00000000-1B81-42A1-BA18-AF33C8919A5D}"/>
            </c:ext>
          </c:extLst>
        </c:ser>
        <c:dLbls>
          <c:showLegendKey val="0"/>
          <c:showVal val="0"/>
          <c:showCatName val="0"/>
          <c:showSerName val="0"/>
          <c:showPercent val="0"/>
          <c:showBubbleSize val="0"/>
        </c:dLbls>
        <c:axId val="646380672"/>
        <c:axId val="646377432"/>
      </c:scatterChart>
      <c:valAx>
        <c:axId val="6463806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Reviews</a:t>
                </a:r>
              </a:p>
            </c:rich>
          </c:tx>
          <c:layout>
            <c:manualLayout>
              <c:xMode val="edge"/>
              <c:yMode val="edge"/>
              <c:x val="0.49174309611818284"/>
              <c:y val="0.87897354214510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377432"/>
        <c:crosses val="autoZero"/>
        <c:crossBetween val="midCat"/>
      </c:valAx>
      <c:valAx>
        <c:axId val="646377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Rating</a:t>
                </a:r>
              </a:p>
            </c:rich>
          </c:tx>
          <c:layout>
            <c:manualLayout>
              <c:xMode val="edge"/>
              <c:yMode val="edge"/>
              <c:x val="2.9669999518738589E-2"/>
              <c:y val="0.423934076284299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3806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[Excel_jumia.csv.xlsx]Descriptive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solidFill>
              </a:rPr>
              <a:t>Rating</a:t>
            </a:r>
            <a:r>
              <a:rPr lang="en-US" sz="1800" b="1" baseline="0">
                <a:solidFill>
                  <a:schemeClr val="accent2"/>
                </a:solidFill>
              </a:rPr>
              <a:t> Category</a:t>
            </a:r>
            <a:endParaRPr lang="en-US" sz="1800"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'Descriptive Analysis'!$H$1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52-4B9A-B5F1-43AAD96FA7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52-4B9A-B5F1-43AAD96FA7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52-4B9A-B5F1-43AAD96FA76B}"/>
              </c:ext>
            </c:extLst>
          </c:dPt>
          <c:cat>
            <c:strRef>
              <c:f>'Descriptive Analysis'!$G$2:$G$5</c:f>
              <c:strCache>
                <c:ptCount val="3"/>
                <c:pt idx="0">
                  <c:v>Average</c:v>
                </c:pt>
                <c:pt idx="1">
                  <c:v>Excellent</c:v>
                </c:pt>
                <c:pt idx="2">
                  <c:v>Poor</c:v>
                </c:pt>
              </c:strCache>
            </c:strRef>
          </c:cat>
          <c:val>
            <c:numRef>
              <c:f>'Descriptive Analysis'!$H$2:$H$5</c:f>
              <c:numCache>
                <c:formatCode>General</c:formatCode>
                <c:ptCount val="3"/>
                <c:pt idx="0">
                  <c:v>22</c:v>
                </c:pt>
                <c:pt idx="1">
                  <c:v>76</c:v>
                </c:pt>
                <c:pt idx="2">
                  <c:v>11</c:v>
                </c:pt>
              </c:numCache>
            </c:numRef>
          </c:val>
          <c:extLst>
            <c:ext xmlns:c16="http://schemas.microsoft.com/office/drawing/2014/chart" uri="{C3380CC4-5D6E-409C-BE32-E72D297353CC}">
              <c16:uniqueId val="{00000000-3F67-4783-832E-1BB290E2E8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[Excel_jumia.csv.xlsx]Descriptive Analysis!PivotTable25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Discount</a:t>
            </a:r>
            <a:r>
              <a:rPr lang="en-US" sz="1800" b="1" baseline="0">
                <a:solidFill>
                  <a:schemeClr val="accent1"/>
                </a:solidFill>
              </a:rPr>
              <a:t> Category</a:t>
            </a:r>
            <a:endParaRPr lang="en-US" sz="1800" b="1">
              <a:solidFill>
                <a:schemeClr val="accent1"/>
              </a:solidFill>
            </a:endParaRPr>
          </a:p>
        </c:rich>
      </c:tx>
      <c:layout>
        <c:manualLayout>
          <c:xMode val="edge"/>
          <c:yMode val="edge"/>
          <c:x val="0.2389292400750582"/>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'Descriptive Analysis'!$V$2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10-4436-920B-575D3BAB5F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10-4436-920B-575D3BAB5F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10-4436-920B-575D3BAB5F67}"/>
              </c:ext>
            </c:extLst>
          </c:dPt>
          <c:cat>
            <c:strRef>
              <c:f>'Descriptive Analysis'!$U$3:$U$6</c:f>
              <c:strCache>
                <c:ptCount val="3"/>
                <c:pt idx="0">
                  <c:v>High</c:v>
                </c:pt>
                <c:pt idx="1">
                  <c:v>Low</c:v>
                </c:pt>
                <c:pt idx="2">
                  <c:v>Medium</c:v>
                </c:pt>
              </c:strCache>
            </c:strRef>
          </c:cat>
          <c:val>
            <c:numRef>
              <c:f>'Descriptive Analysis'!$V$3:$V$6</c:f>
              <c:numCache>
                <c:formatCode>General</c:formatCode>
                <c:ptCount val="3"/>
                <c:pt idx="0">
                  <c:v>59</c:v>
                </c:pt>
                <c:pt idx="1">
                  <c:v>18</c:v>
                </c:pt>
                <c:pt idx="2">
                  <c:v>32</c:v>
                </c:pt>
              </c:numCache>
            </c:numRef>
          </c:val>
          <c:extLst>
            <c:ext xmlns:c16="http://schemas.microsoft.com/office/drawing/2014/chart" uri="{C3380CC4-5D6E-409C-BE32-E72D297353CC}">
              <c16:uniqueId val="{00000000-872B-4DC1-8F5C-2AF1FE6BF9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[Excel_jumia.csv.xlsx]HighRated!PivotTable3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Top</a:t>
            </a:r>
            <a:r>
              <a:rPr lang="en-US" sz="1800" b="1" baseline="0">
                <a:solidFill>
                  <a:schemeClr val="accent1"/>
                </a:solidFill>
              </a:rPr>
              <a:t> Products by Rating</a:t>
            </a:r>
            <a:endParaRPr lang="en-US" sz="1800" b="1">
              <a:solidFill>
                <a:schemeClr val="accent1"/>
              </a:solidFill>
            </a:endParaRPr>
          </a:p>
        </c:rich>
      </c:tx>
      <c:layout>
        <c:manualLayout>
          <c:xMode val="edge"/>
          <c:yMode val="edge"/>
          <c:x val="0.18552046974701497"/>
          <c:y val="0.126265108581172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HighRated!$B$3</c:f>
              <c:strCache>
                <c:ptCount val="1"/>
                <c:pt idx="0">
                  <c:v>Total</c:v>
                </c:pt>
              </c:strCache>
            </c:strRef>
          </c:tx>
          <c:spPr>
            <a:solidFill>
              <a:schemeClr val="accent1"/>
            </a:solidFill>
            <a:ln>
              <a:noFill/>
            </a:ln>
            <a:effectLst/>
          </c:spPr>
          <c:invertIfNegative val="0"/>
          <c:cat>
            <c:strRef>
              <c:f>HighRated!$A$4:$A$11</c:f>
              <c:strCache>
                <c:ptCount val="7"/>
                <c:pt idx="0">
                  <c:v>1PC Refrigerator Food Seal Pocket Fridge Bags</c:v>
                </c:pt>
                <c:pt idx="1">
                  <c:v>5m Waterproof Spherical LED String Lights Outdoor Ball Chain Lights Party Lighting Decoration Adjustable</c:v>
                </c:pt>
                <c:pt idx="2">
                  <c:v>Anti-Skid Absorbent Insulation Coaster  For Home Office</c:v>
                </c:pt>
                <c:pt idx="3">
                  <c:v>Classic Black Cat Cotton Hemp Pillow Case For Home Car</c:v>
                </c:pt>
                <c:pt idx="4">
                  <c:v>DIY File Folder, Office Drawer File Holder, Pen Holder, Desktop Storage Rack</c:v>
                </c:pt>
                <c:pt idx="5">
                  <c:v>LASA Aluminum Folding Truck Hand Cart - 68kg Max</c:v>
                </c:pt>
                <c:pt idx="6">
                  <c:v>Peacock  Throw Pillow Cushion Case For Home Car</c:v>
                </c:pt>
              </c:strCache>
            </c:strRef>
          </c:cat>
          <c:val>
            <c:numRef>
              <c:f>HighRated!$B$4:$B$11</c:f>
              <c:numCache>
                <c:formatCode>0.0</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A9E9-47D5-A3C3-410B2A71CF38}"/>
            </c:ext>
          </c:extLst>
        </c:ser>
        <c:dLbls>
          <c:showLegendKey val="0"/>
          <c:showVal val="0"/>
          <c:showCatName val="0"/>
          <c:showSerName val="0"/>
          <c:showPercent val="0"/>
          <c:showBubbleSize val="0"/>
        </c:dLbls>
        <c:gapWidth val="182"/>
        <c:axId val="690796408"/>
        <c:axId val="690793888"/>
      </c:barChart>
      <c:catAx>
        <c:axId val="690796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93888"/>
        <c:crosses val="autoZero"/>
        <c:auto val="1"/>
        <c:lblAlgn val="ctr"/>
        <c:lblOffset val="100"/>
        <c:noMultiLvlLbl val="0"/>
      </c:catAx>
      <c:valAx>
        <c:axId val="69079388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96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[Excel_jumia.csv.xlsx]HighReviewProducts!PivotTable2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6"/>
                </a:solidFill>
              </a:rPr>
              <a:t>Top</a:t>
            </a:r>
            <a:r>
              <a:rPr lang="en-US" sz="1800" b="1" baseline="0">
                <a:solidFill>
                  <a:schemeClr val="accent6"/>
                </a:solidFill>
              </a:rPr>
              <a:t> Products By Reviews</a:t>
            </a:r>
            <a:endParaRPr lang="en-US" sz="1800" b="1">
              <a:solidFill>
                <a:schemeClr val="accent6"/>
              </a:solidFill>
            </a:endParaRPr>
          </a:p>
        </c:rich>
      </c:tx>
      <c:layout>
        <c:manualLayout>
          <c:xMode val="edge"/>
          <c:yMode val="edge"/>
          <c:x val="0.19824300087489063"/>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HighReviewProducts!$B$3</c:f>
              <c:strCache>
                <c:ptCount val="1"/>
                <c:pt idx="0">
                  <c:v>Total</c:v>
                </c:pt>
              </c:strCache>
            </c:strRef>
          </c:tx>
          <c:spPr>
            <a:solidFill>
              <a:schemeClr val="accent1"/>
            </a:solidFill>
            <a:ln>
              <a:noFill/>
            </a:ln>
            <a:effectLst/>
          </c:spPr>
          <c:invertIfNegative val="0"/>
          <c:cat>
            <c:strRef>
              <c:f>HighReviewProducts!$A$4:$A$11</c:f>
              <c:strCache>
                <c:ptCount val="7"/>
                <c:pt idx="0">
                  <c:v>13 In 1 Home Repair Tools Box Kit Set</c:v>
                </c:pt>
                <c:pt idx="1">
                  <c:v>7-piece Set Of Storage Bags, Travel Storage Bags, Shoe Bags</c:v>
                </c:pt>
                <c:pt idx="2">
                  <c:v>Agapeon Toothbrush Holder And Toothpaste Dispenser</c:v>
                </c:pt>
                <c:pt idx="3">
                  <c:v>LASA FOLDING TABLE SERVING STAND</c:v>
                </c:pt>
                <c:pt idx="4">
                  <c:v>LED Wall Digital Alarm Clock Study Home 12 / 24H Clock Calendar</c:v>
                </c:pt>
                <c:pt idx="5">
                  <c:v>Portable Home Small Air Humidifier 3-Speed Fan - Green</c:v>
                </c:pt>
                <c:pt idx="6">
                  <c:v>Watercolour Gold Foil Textured Print Pillow Cover</c:v>
                </c:pt>
              </c:strCache>
            </c:strRef>
          </c:cat>
          <c:val>
            <c:numRef>
              <c:f>HighReviewProducts!$B$4:$B$11</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06F2-4AD6-8C00-E4E4980A4599}"/>
            </c:ext>
          </c:extLst>
        </c:ser>
        <c:dLbls>
          <c:showLegendKey val="0"/>
          <c:showVal val="0"/>
          <c:showCatName val="0"/>
          <c:showSerName val="0"/>
          <c:showPercent val="0"/>
          <c:showBubbleSize val="0"/>
        </c:dLbls>
        <c:gapWidth val="182"/>
        <c:axId val="694442480"/>
        <c:axId val="688602032"/>
      </c:barChart>
      <c:catAx>
        <c:axId val="69444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88602032"/>
        <c:crosses val="autoZero"/>
        <c:auto val="1"/>
        <c:lblAlgn val="ctr"/>
        <c:lblOffset val="100"/>
        <c:noMultiLvlLbl val="0"/>
      </c:catAx>
      <c:valAx>
        <c:axId val="688602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44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[Excel_jumia.csv.xlsx]HighDiscProducts!PivotTable1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High</a:t>
            </a:r>
            <a:r>
              <a:rPr lang="en-US" sz="1800" b="1" baseline="0">
                <a:solidFill>
                  <a:schemeClr val="accent1"/>
                </a:solidFill>
              </a:rPr>
              <a:t> Discount Products</a:t>
            </a:r>
            <a:endParaRPr lang="en-US" sz="1800" b="1">
              <a:solidFill>
                <a:schemeClr val="accent1"/>
              </a:solidFill>
            </a:endParaRPr>
          </a:p>
        </c:rich>
      </c:tx>
      <c:layout>
        <c:manualLayout>
          <c:xMode val="edge"/>
          <c:yMode val="edge"/>
          <c:x val="0.23000000000000004"/>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HighDiscProducts!$B$3</c:f>
              <c:strCache>
                <c:ptCount val="1"/>
                <c:pt idx="0">
                  <c:v>Total</c:v>
                </c:pt>
              </c:strCache>
            </c:strRef>
          </c:tx>
          <c:spPr>
            <a:solidFill>
              <a:schemeClr val="accent6"/>
            </a:solidFill>
            <a:ln>
              <a:noFill/>
            </a:ln>
            <a:effectLst/>
          </c:spPr>
          <c:invertIfNegative val="0"/>
          <c:cat>
            <c:strRef>
              <c:f>HighDiscProducts!$A$4:$A$14</c:f>
              <c:strCache>
                <c:ptCount val="10"/>
                <c:pt idx="0">
                  <c:v>1/2/3 Seater Elastic Sofa Cover,Living Room/Home Decor Chair Cover-Grey</c:v>
                </c:pt>
                <c:pt idx="1">
                  <c:v>120W Cordless Vacuum Cleaners Handheld Electric Vacuum Cleaner</c:v>
                </c:pt>
                <c:pt idx="2">
                  <c:v>2PCS/LOT Solar LED Outdoor Intelligent Light Controlled Wall Lamp</c:v>
                </c:pt>
                <c:pt idx="3">
                  <c:v>Agapeon Toothbrush Holder And Toothpaste Dispenser</c:v>
                </c:pt>
                <c:pt idx="4">
                  <c:v>LASA 3 Tier Bamboo Shoe Bench Storage Shelf</c:v>
                </c:pt>
                <c:pt idx="5">
                  <c:v>LASA Aluminum Folding Truck Hand Cart - 68kg Max</c:v>
                </c:pt>
                <c:pt idx="6">
                  <c:v>LASA FOLDING TABLE SERVING STAND</c:v>
                </c:pt>
                <c:pt idx="7">
                  <c:v>LASA Stainless Steel Double Wall Mount Soap Dispenser - 500ml</c:v>
                </c:pt>
                <c:pt idx="8">
                  <c:v>LED Eye Protection  Desk Lamp , Study, Reading, USB Fan - Double Pen Holder</c:v>
                </c:pt>
                <c:pt idx="9">
                  <c:v>MultiFunctional Storage Rack Multi-layer Bookshelf</c:v>
                </c:pt>
              </c:strCache>
            </c:strRef>
          </c:cat>
          <c:val>
            <c:numRef>
              <c:f>HighDiscProducts!$B$4:$B$14</c:f>
              <c:numCache>
                <c:formatCode>0</c:formatCode>
                <c:ptCount val="10"/>
                <c:pt idx="0">
                  <c:v>1400</c:v>
                </c:pt>
                <c:pt idx="1">
                  <c:v>2585</c:v>
                </c:pt>
                <c:pt idx="2">
                  <c:v>1418</c:v>
                </c:pt>
                <c:pt idx="3">
                  <c:v>2393</c:v>
                </c:pt>
                <c:pt idx="4">
                  <c:v>2452</c:v>
                </c:pt>
                <c:pt idx="5">
                  <c:v>1946</c:v>
                </c:pt>
                <c:pt idx="6">
                  <c:v>1526</c:v>
                </c:pt>
                <c:pt idx="7">
                  <c:v>1721</c:v>
                </c:pt>
                <c:pt idx="8">
                  <c:v>1670</c:v>
                </c:pt>
                <c:pt idx="9">
                  <c:v>1880</c:v>
                </c:pt>
              </c:numCache>
            </c:numRef>
          </c:val>
          <c:extLst>
            <c:ext xmlns:c16="http://schemas.microsoft.com/office/drawing/2014/chart" uri="{C3380CC4-5D6E-409C-BE32-E72D297353CC}">
              <c16:uniqueId val="{00000000-1362-4254-8097-C7C718EBD92D}"/>
            </c:ext>
          </c:extLst>
        </c:ser>
        <c:dLbls>
          <c:showLegendKey val="0"/>
          <c:showVal val="0"/>
          <c:showCatName val="0"/>
          <c:showSerName val="0"/>
          <c:showPercent val="0"/>
          <c:showBubbleSize val="0"/>
        </c:dLbls>
        <c:gapWidth val="182"/>
        <c:axId val="751262848"/>
        <c:axId val="751261768"/>
      </c:barChart>
      <c:catAx>
        <c:axId val="75126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261768"/>
        <c:crosses val="autoZero"/>
        <c:auto val="1"/>
        <c:lblAlgn val="ctr"/>
        <c:lblOffset val="100"/>
        <c:noMultiLvlLbl val="0"/>
      </c:catAx>
      <c:valAx>
        <c:axId val="7512617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26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Discount</a:t>
            </a:r>
            <a:r>
              <a:rPr lang="en-US" b="1" baseline="0">
                <a:solidFill>
                  <a:schemeClr val="accent2"/>
                </a:solidFill>
              </a:rPr>
              <a:t> % versus Number of Reviews</a:t>
            </a:r>
            <a:endParaRPr lang="en-US" b="1">
              <a:solidFill>
                <a:schemeClr val="accent2"/>
              </a:solidFill>
            </a:endParaRPr>
          </a:p>
        </c:rich>
      </c:tx>
      <c:layout>
        <c:manualLayout>
          <c:xMode val="edge"/>
          <c:yMode val="edge"/>
          <c:x val="0.19177545432780607"/>
          <c:y val="8.3889000230905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9162467540137263E-2"/>
          <c:y val="0.21764728410793294"/>
          <c:w val="0.85239960997929576"/>
          <c:h val="0.63192609831669466"/>
        </c:manualLayout>
      </c:layout>
      <c:scatterChart>
        <c:scatterStyle val="smoothMarker"/>
        <c:varyColors val="0"/>
        <c:ser>
          <c:idx val="0"/>
          <c:order val="0"/>
          <c:tx>
            <c:strRef>
              <c:f>Excel_jumia!$I$1</c:f>
              <c:strCache>
                <c:ptCount val="1"/>
                <c:pt idx="0">
                  <c:v>Review</c:v>
                </c:pt>
              </c:strCache>
            </c:strRef>
          </c:tx>
          <c:spPr>
            <a:ln w="19050" cap="rnd">
              <a:solidFill>
                <a:schemeClr val="accent1"/>
              </a:solidFill>
              <a:round/>
            </a:ln>
            <a:effectLst/>
          </c:spPr>
          <c:marker>
            <c:symbol val="none"/>
          </c:marker>
          <c:xVal>
            <c:numRef>
              <c:f>Excel_jumia!$G$2:$G$113</c:f>
              <c:numCache>
                <c:formatCode>0%</c:formatCode>
                <c:ptCount val="112"/>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Excel_jumia!$I$2:$I$113</c:f>
              <c:numCache>
                <c:formatCode>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1"/>
          <c:extLst>
            <c:ext xmlns:c16="http://schemas.microsoft.com/office/drawing/2014/chart" uri="{C3380CC4-5D6E-409C-BE32-E72D297353CC}">
              <c16:uniqueId val="{00000000-89F7-4730-B2F1-3726C5D48487}"/>
            </c:ext>
          </c:extLst>
        </c:ser>
        <c:dLbls>
          <c:showLegendKey val="0"/>
          <c:showVal val="0"/>
          <c:showCatName val="0"/>
          <c:showSerName val="0"/>
          <c:showPercent val="0"/>
          <c:showBubbleSize val="0"/>
        </c:dLbls>
        <c:axId val="655236872"/>
        <c:axId val="655230752"/>
      </c:scatterChart>
      <c:valAx>
        <c:axId val="6552368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Discount[%]</a:t>
                </a:r>
              </a:p>
              <a:p>
                <a:pPr>
                  <a:defRPr/>
                </a:pPr>
                <a:endParaRPr lang="en-US"/>
              </a:p>
            </c:rich>
          </c:tx>
          <c:layout>
            <c:manualLayout>
              <c:xMode val="edge"/>
              <c:yMode val="edge"/>
              <c:x val="0.42559383202099749"/>
              <c:y val="0.849349918216744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30752"/>
        <c:crosses val="autoZero"/>
        <c:crossBetween val="midCat"/>
      </c:valAx>
      <c:valAx>
        <c:axId val="655230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Review</a:t>
                </a:r>
              </a:p>
            </c:rich>
          </c:tx>
          <c:layout>
            <c:manualLayout>
              <c:xMode val="edge"/>
              <c:yMode val="edge"/>
              <c:x val="1.9444444444444445E-2"/>
              <c:y val="0.36504811898512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368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6">
                    <a:lumMod val="75000"/>
                  </a:schemeClr>
                </a:solidFill>
              </a:rPr>
              <a:t>Rating</a:t>
            </a:r>
            <a:r>
              <a:rPr lang="en-US" sz="1800" b="1" baseline="0">
                <a:solidFill>
                  <a:schemeClr val="accent6">
                    <a:lumMod val="75000"/>
                  </a:schemeClr>
                </a:solidFill>
              </a:rPr>
              <a:t> versus Number of Reviews</a:t>
            </a:r>
          </a:p>
          <a:p>
            <a:pPr>
              <a:defRPr/>
            </a:pPr>
            <a:endParaRPr lang="en-US"/>
          </a:p>
        </c:rich>
      </c:tx>
      <c:layout>
        <c:manualLayout>
          <c:xMode val="edge"/>
          <c:yMode val="edge"/>
          <c:x val="0.10462108332117243"/>
          <c:y val="0.1245677383361301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Excel_jumia!$J$1</c:f>
              <c:strCache>
                <c:ptCount val="1"/>
                <c:pt idx="0">
                  <c:v>Ratingd</c:v>
                </c:pt>
              </c:strCache>
            </c:strRef>
          </c:tx>
          <c:spPr>
            <a:ln w="19050" cap="rnd">
              <a:solidFill>
                <a:schemeClr val="accent1"/>
              </a:solidFill>
              <a:round/>
            </a:ln>
            <a:effectLst/>
          </c:spPr>
          <c:marker>
            <c:symbol val="none"/>
          </c:marker>
          <c:xVal>
            <c:strRef>
              <c:f>Excel_jumia!$I$2:$I$113</c:f>
              <c:strCach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null</c:v>
                </c:pt>
                <c:pt idx="22">
                  <c:v>6</c:v>
                </c:pt>
                <c:pt idx="23">
                  <c:v>14</c:v>
                </c:pt>
                <c:pt idx="24">
                  <c:v>7</c:v>
                </c:pt>
                <c:pt idx="25">
                  <c:v>49</c:v>
                </c:pt>
                <c:pt idx="26">
                  <c:v>12</c:v>
                </c:pt>
                <c:pt idx="27">
                  <c:v>13</c:v>
                </c:pt>
                <c:pt idx="28">
                  <c:v>20</c:v>
                </c:pt>
                <c:pt idx="29">
                  <c:v>null</c:v>
                </c:pt>
                <c:pt idx="30">
                  <c:v>9</c:v>
                </c:pt>
                <c:pt idx="31">
                  <c:v>12</c:v>
                </c:pt>
                <c:pt idx="32">
                  <c:v>9</c:v>
                </c:pt>
                <c:pt idx="33">
                  <c:v>20</c:v>
                </c:pt>
                <c:pt idx="34">
                  <c:v>32</c:v>
                </c:pt>
                <c:pt idx="35">
                  <c:v>1</c:v>
                </c:pt>
                <c:pt idx="36">
                  <c:v>2</c:v>
                </c:pt>
                <c:pt idx="37">
                  <c:v>36</c:v>
                </c:pt>
                <c:pt idx="38">
                  <c:v>2</c:v>
                </c:pt>
                <c:pt idx="39">
                  <c:v>null</c:v>
                </c:pt>
                <c:pt idx="40">
                  <c:v>null</c:v>
                </c:pt>
                <c:pt idx="41">
                  <c:v>null</c:v>
                </c:pt>
                <c:pt idx="42">
                  <c:v>null</c:v>
                </c:pt>
                <c:pt idx="43">
                  <c:v>null</c:v>
                </c:pt>
                <c:pt idx="44">
                  <c:v>null</c:v>
                </c:pt>
                <c:pt idx="45">
                  <c:v>null</c:v>
                </c:pt>
                <c:pt idx="46">
                  <c:v>null</c:v>
                </c:pt>
                <c:pt idx="47">
                  <c:v>null</c:v>
                </c:pt>
                <c:pt idx="48">
                  <c:v>null</c:v>
                </c:pt>
                <c:pt idx="49">
                  <c:v>null</c:v>
                </c:pt>
                <c:pt idx="50">
                  <c:v>null</c:v>
                </c:pt>
                <c:pt idx="51">
                  <c:v>null</c:v>
                </c:pt>
                <c:pt idx="52">
                  <c:v>null</c:v>
                </c:pt>
                <c:pt idx="53">
                  <c:v>null</c:v>
                </c:pt>
                <c:pt idx="54">
                  <c:v>null</c:v>
                </c:pt>
                <c:pt idx="55">
                  <c:v>null</c:v>
                </c:pt>
                <c:pt idx="56">
                  <c:v>null</c:v>
                </c:pt>
                <c:pt idx="57">
                  <c:v>null</c:v>
                </c:pt>
                <c:pt idx="58">
                  <c:v>null</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null</c:v>
                </c:pt>
                <c:pt idx="75">
                  <c:v>null</c:v>
                </c:pt>
                <c:pt idx="76">
                  <c:v>null</c:v>
                </c:pt>
                <c:pt idx="77">
                  <c:v>null</c:v>
                </c:pt>
                <c:pt idx="78">
                  <c:v>1</c:v>
                </c:pt>
                <c:pt idx="79">
                  <c:v>1</c:v>
                </c:pt>
                <c:pt idx="80">
                  <c:v>null</c:v>
                </c:pt>
                <c:pt idx="81">
                  <c:v>null</c:v>
                </c:pt>
                <c:pt idx="82">
                  <c:v>1</c:v>
                </c:pt>
                <c:pt idx="83">
                  <c:v>null</c:v>
                </c:pt>
                <c:pt idx="84">
                  <c:v>null</c:v>
                </c:pt>
                <c:pt idx="85">
                  <c:v>null</c:v>
                </c:pt>
                <c:pt idx="86">
                  <c:v>null</c:v>
                </c:pt>
                <c:pt idx="87">
                  <c:v>null</c:v>
                </c:pt>
                <c:pt idx="88">
                  <c:v>null</c:v>
                </c:pt>
                <c:pt idx="89">
                  <c:v>null</c:v>
                </c:pt>
                <c:pt idx="90">
                  <c:v>null</c:v>
                </c:pt>
                <c:pt idx="91">
                  <c:v>null</c:v>
                </c:pt>
                <c:pt idx="92">
                  <c:v>null</c:v>
                </c:pt>
                <c:pt idx="93">
                  <c:v>null</c:v>
                </c:pt>
                <c:pt idx="94">
                  <c:v>null</c:v>
                </c:pt>
                <c:pt idx="95">
                  <c:v>null</c:v>
                </c:pt>
                <c:pt idx="96">
                  <c:v>null</c:v>
                </c:pt>
                <c:pt idx="97">
                  <c:v>null</c:v>
                </c:pt>
                <c:pt idx="98">
                  <c:v>null</c:v>
                </c:pt>
                <c:pt idx="99">
                  <c:v>null</c:v>
                </c:pt>
                <c:pt idx="100">
                  <c:v>null</c:v>
                </c:pt>
                <c:pt idx="101">
                  <c:v>1</c:v>
                </c:pt>
                <c:pt idx="102">
                  <c:v>null</c:v>
                </c:pt>
                <c:pt idx="103">
                  <c:v>null</c:v>
                </c:pt>
                <c:pt idx="104">
                  <c:v>null</c:v>
                </c:pt>
                <c:pt idx="105">
                  <c:v>null</c:v>
                </c:pt>
                <c:pt idx="106">
                  <c:v>null</c:v>
                </c:pt>
                <c:pt idx="107">
                  <c:v>null</c:v>
                </c:pt>
                <c:pt idx="108">
                  <c:v>null</c:v>
                </c:pt>
                <c:pt idx="109">
                  <c:v>null</c:v>
                </c:pt>
                <c:pt idx="110">
                  <c:v>1</c:v>
                </c:pt>
                <c:pt idx="111">
                  <c:v>null</c:v>
                </c:pt>
              </c:strCache>
            </c:strRef>
          </c:xVal>
          <c:yVal>
            <c:numRef>
              <c:f>Excel_jumia!$J$2:$J$113</c:f>
              <c:numCache>
                <c:formatCode>0.0</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1"/>
          <c:extLst>
            <c:ext xmlns:c16="http://schemas.microsoft.com/office/drawing/2014/chart" uri="{C3380CC4-5D6E-409C-BE32-E72D297353CC}">
              <c16:uniqueId val="{00000000-5726-49EE-AADA-B26807BADCC0}"/>
            </c:ext>
          </c:extLst>
        </c:ser>
        <c:dLbls>
          <c:showLegendKey val="0"/>
          <c:showVal val="0"/>
          <c:showCatName val="0"/>
          <c:showSerName val="0"/>
          <c:showPercent val="0"/>
          <c:showBubbleSize val="0"/>
        </c:dLbls>
        <c:axId val="646380672"/>
        <c:axId val="646377432"/>
      </c:scatterChart>
      <c:valAx>
        <c:axId val="6463806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Reviews</a:t>
                </a:r>
              </a:p>
            </c:rich>
          </c:tx>
          <c:layout>
            <c:manualLayout>
              <c:xMode val="edge"/>
              <c:yMode val="edge"/>
              <c:x val="0.49174309611818284"/>
              <c:y val="0.87897354214510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377432"/>
        <c:crosses val="autoZero"/>
        <c:crossBetween val="midCat"/>
      </c:valAx>
      <c:valAx>
        <c:axId val="646377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Rating</a:t>
                </a:r>
              </a:p>
            </c:rich>
          </c:tx>
          <c:layout>
            <c:manualLayout>
              <c:xMode val="edge"/>
              <c:yMode val="edge"/>
              <c:x val="2.9669999518738589E-2"/>
              <c:y val="0.423934076284299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3806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[Excel_jumia.csv.xlsx]Descriptive 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solidFill>
              </a:rPr>
              <a:t>Rating</a:t>
            </a:r>
            <a:r>
              <a:rPr lang="en-US" sz="1800" b="1" baseline="0">
                <a:solidFill>
                  <a:schemeClr val="accent2"/>
                </a:solidFill>
              </a:rPr>
              <a:t> Category</a:t>
            </a:r>
            <a:endParaRPr lang="en-US" sz="1800"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'Descriptive Analysis'!$H$1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6F-4752-AF89-52923299A8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6F-4752-AF89-52923299A8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6F-4752-AF89-52923299A8D3}"/>
              </c:ext>
            </c:extLst>
          </c:dPt>
          <c:cat>
            <c:strRef>
              <c:f>'Descriptive Analysis'!$G$2:$G$5</c:f>
              <c:strCache>
                <c:ptCount val="3"/>
                <c:pt idx="0">
                  <c:v>Average</c:v>
                </c:pt>
                <c:pt idx="1">
                  <c:v>Excellent</c:v>
                </c:pt>
                <c:pt idx="2">
                  <c:v>Poor</c:v>
                </c:pt>
              </c:strCache>
            </c:strRef>
          </c:cat>
          <c:val>
            <c:numRef>
              <c:f>'Descriptive Analysis'!$H$2:$H$5</c:f>
              <c:numCache>
                <c:formatCode>General</c:formatCode>
                <c:ptCount val="3"/>
                <c:pt idx="0">
                  <c:v>22</c:v>
                </c:pt>
                <c:pt idx="1">
                  <c:v>76</c:v>
                </c:pt>
                <c:pt idx="2">
                  <c:v>11</c:v>
                </c:pt>
              </c:numCache>
            </c:numRef>
          </c:val>
          <c:extLst>
            <c:ext xmlns:c16="http://schemas.microsoft.com/office/drawing/2014/chart" uri="{C3380CC4-5D6E-409C-BE32-E72D297353CC}">
              <c16:uniqueId val="{00000006-056F-4752-AF89-52923299A8D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[Excel_jumia.csv.xlsx]Descriptive Analysis!PivotTable25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Discount</a:t>
            </a:r>
            <a:r>
              <a:rPr lang="en-US" sz="1800" b="1" baseline="0">
                <a:solidFill>
                  <a:schemeClr val="accent1"/>
                </a:solidFill>
              </a:rPr>
              <a:t> Category</a:t>
            </a:r>
            <a:endParaRPr lang="en-US" sz="1800" b="1">
              <a:solidFill>
                <a:schemeClr val="accent1"/>
              </a:solidFill>
            </a:endParaRPr>
          </a:p>
        </c:rich>
      </c:tx>
      <c:layout>
        <c:manualLayout>
          <c:xMode val="edge"/>
          <c:yMode val="edge"/>
          <c:x val="0.2389292400750582"/>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'Descriptive Analysis'!$V$2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52-4FF8-9900-DBAB397FCA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52-4FF8-9900-DBAB397FCA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52-4FF8-9900-DBAB397FCADB}"/>
              </c:ext>
            </c:extLst>
          </c:dPt>
          <c:cat>
            <c:strRef>
              <c:f>'Descriptive Analysis'!$U$3:$U$6</c:f>
              <c:strCache>
                <c:ptCount val="3"/>
                <c:pt idx="0">
                  <c:v>High</c:v>
                </c:pt>
                <c:pt idx="1">
                  <c:v>Low</c:v>
                </c:pt>
                <c:pt idx="2">
                  <c:v>Medium</c:v>
                </c:pt>
              </c:strCache>
            </c:strRef>
          </c:cat>
          <c:val>
            <c:numRef>
              <c:f>'Descriptive Analysis'!$V$3:$V$6</c:f>
              <c:numCache>
                <c:formatCode>General</c:formatCode>
                <c:ptCount val="3"/>
                <c:pt idx="0">
                  <c:v>59</c:v>
                </c:pt>
                <c:pt idx="1">
                  <c:v>18</c:v>
                </c:pt>
                <c:pt idx="2">
                  <c:v>32</c:v>
                </c:pt>
              </c:numCache>
            </c:numRef>
          </c:val>
          <c:extLst>
            <c:ext xmlns:c16="http://schemas.microsoft.com/office/drawing/2014/chart" uri="{C3380CC4-5D6E-409C-BE32-E72D297353CC}">
              <c16:uniqueId val="{00000006-1652-4FF8-9900-DBAB397FCA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2</xdr:col>
      <xdr:colOff>368300</xdr:colOff>
      <xdr:row>0</xdr:row>
      <xdr:rowOff>63501</xdr:rowOff>
    </xdr:from>
    <xdr:to>
      <xdr:col>5</xdr:col>
      <xdr:colOff>368300</xdr:colOff>
      <xdr:row>7</xdr:row>
      <xdr:rowOff>177801</xdr:rowOff>
    </xdr:to>
    <mc:AlternateContent xmlns:mc="http://schemas.openxmlformats.org/markup-compatibility/2006" xmlns:a14="http://schemas.microsoft.com/office/drawing/2010/main">
      <mc:Choice Requires="a14">
        <xdr:graphicFrame macro="">
          <xdr:nvGraphicFramePr>
            <xdr:cNvPr id="3" name="Review">
              <a:extLst>
                <a:ext uri="{FF2B5EF4-FFF2-40B4-BE49-F238E27FC236}">
                  <a16:creationId xmlns:a16="http://schemas.microsoft.com/office/drawing/2014/main" id="{F9EAF2F5-BC49-51E7-D2B9-BD123DBE4180}"/>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mlns="">
        <xdr:sp macro="" textlink="">
          <xdr:nvSpPr>
            <xdr:cNvPr id="0" name=""/>
            <xdr:cNvSpPr>
              <a:spLocks noTextEdit="1"/>
            </xdr:cNvSpPr>
          </xdr:nvSpPr>
          <xdr:spPr>
            <a:xfrm>
              <a:off x="5175250" y="63501"/>
              <a:ext cx="1828800" cy="1403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193675</xdr:colOff>
      <xdr:row>8</xdr:row>
      <xdr:rowOff>123825</xdr:rowOff>
    </xdr:from>
    <xdr:to>
      <xdr:col>8</xdr:col>
      <xdr:colOff>533400</xdr:colOff>
      <xdr:row>21</xdr:row>
      <xdr:rowOff>57150</xdr:rowOff>
    </xdr:to>
    <xdr:graphicFrame macro="">
      <xdr:nvGraphicFramePr>
        <xdr:cNvPr id="4" name="Chart 3">
          <a:extLst>
            <a:ext uri="{FF2B5EF4-FFF2-40B4-BE49-F238E27FC236}">
              <a16:creationId xmlns:a16="http://schemas.microsoft.com/office/drawing/2014/main" id="{E31BD3EF-4353-EA60-24CC-009BA16A3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107950</xdr:colOff>
      <xdr:row>7</xdr:row>
      <xdr:rowOff>165100</xdr:rowOff>
    </xdr:from>
    <xdr:to>
      <xdr:col>8</xdr:col>
      <xdr:colOff>241300</xdr:colOff>
      <xdr:row>21</xdr:row>
      <xdr:rowOff>133350</xdr:rowOff>
    </xdr:to>
    <xdr:graphicFrame macro="">
      <xdr:nvGraphicFramePr>
        <xdr:cNvPr id="3" name="Chart 2">
          <a:extLst>
            <a:ext uri="{FF2B5EF4-FFF2-40B4-BE49-F238E27FC236}">
              <a16:creationId xmlns:a16="http://schemas.microsoft.com/office/drawing/2014/main" id="{17B65462-EB94-A6E1-2ECF-3937BAC13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114300</xdr:colOff>
      <xdr:row>0</xdr:row>
      <xdr:rowOff>0</xdr:rowOff>
    </xdr:from>
    <xdr:to>
      <xdr:col>5</xdr:col>
      <xdr:colOff>114300</xdr:colOff>
      <xdr:row>7</xdr:row>
      <xdr:rowOff>101600</xdr:rowOff>
    </xdr:to>
    <mc:AlternateContent xmlns:mc="http://schemas.openxmlformats.org/markup-compatibility/2006" xmlns:a14="http://schemas.microsoft.com/office/drawing/2010/main">
      <mc:Choice Requires="a14">
        <xdr:graphicFrame macro="">
          <xdr:nvGraphicFramePr>
            <xdr:cNvPr id="5" name="Discount Amount">
              <a:extLst>
                <a:ext uri="{FF2B5EF4-FFF2-40B4-BE49-F238E27FC236}">
                  <a16:creationId xmlns:a16="http://schemas.microsoft.com/office/drawing/2014/main" id="{634DF3D5-FA8F-AA6B-5D76-8E519D161E02}"/>
                </a:ext>
              </a:extLst>
            </xdr:cNvPr>
            <xdr:cNvGraphicFramePr/>
          </xdr:nvGraphicFramePr>
          <xdr:xfrm>
            <a:off x="0" y="0"/>
            <a:ext cx="0" cy="0"/>
          </xdr:xfrm>
          <a:graphic>
            <a:graphicData uri="http://schemas.microsoft.com/office/drawing/2010/slicer">
              <sle:slicer xmlns:sle="http://schemas.microsoft.com/office/drawing/2010/slicer" name="Discount Amount"/>
            </a:graphicData>
          </a:graphic>
        </xdr:graphicFrame>
      </mc:Choice>
      <mc:Fallback xmlns="">
        <xdr:sp macro="" textlink="">
          <xdr:nvSpPr>
            <xdr:cNvPr id="0" name=""/>
            <xdr:cNvSpPr>
              <a:spLocks noTextEdit="1"/>
            </xdr:cNvSpPr>
          </xdr:nvSpPr>
          <xdr:spPr>
            <a:xfrm>
              <a:off x="6242050" y="0"/>
              <a:ext cx="18288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25400</xdr:colOff>
      <xdr:row>1</xdr:row>
      <xdr:rowOff>60325</xdr:rowOff>
    </xdr:from>
    <xdr:to>
      <xdr:col>8</xdr:col>
      <xdr:colOff>565150</xdr:colOff>
      <xdr:row>13</xdr:row>
      <xdr:rowOff>69850</xdr:rowOff>
    </xdr:to>
    <xdr:graphicFrame macro="">
      <xdr:nvGraphicFramePr>
        <xdr:cNvPr id="2" name="Chart 1">
          <a:extLst>
            <a:ext uri="{FF2B5EF4-FFF2-40B4-BE49-F238E27FC236}">
              <a16:creationId xmlns:a16="http://schemas.microsoft.com/office/drawing/2014/main" id="{8EB6D353-E3D6-68E6-B510-C3A447760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247650</xdr:colOff>
      <xdr:row>2</xdr:row>
      <xdr:rowOff>15875</xdr:rowOff>
    </xdr:from>
    <xdr:to>
      <xdr:col>9</xdr:col>
      <xdr:colOff>196850</xdr:colOff>
      <xdr:row>16</xdr:row>
      <xdr:rowOff>44450</xdr:rowOff>
    </xdr:to>
    <xdr:graphicFrame macro="">
      <xdr:nvGraphicFramePr>
        <xdr:cNvPr id="2" name="Chart 1">
          <a:extLst>
            <a:ext uri="{FF2B5EF4-FFF2-40B4-BE49-F238E27FC236}">
              <a16:creationId xmlns:a16="http://schemas.microsoft.com/office/drawing/2014/main" id="{6E71AEF7-75EF-831E-82D2-696E67B4E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161925</xdr:colOff>
      <xdr:row>1</xdr:row>
      <xdr:rowOff>12700</xdr:rowOff>
    </xdr:from>
    <xdr:to>
      <xdr:col>6</xdr:col>
      <xdr:colOff>304800</xdr:colOff>
      <xdr:row>14</xdr:row>
      <xdr:rowOff>31750</xdr:rowOff>
    </xdr:to>
    <xdr:graphicFrame macro="">
      <xdr:nvGraphicFramePr>
        <xdr:cNvPr id="2" name="Chart 3">
          <a:extLst>
            <a:ext uri="{FF2B5EF4-FFF2-40B4-BE49-F238E27FC236}">
              <a16:creationId xmlns:a16="http://schemas.microsoft.com/office/drawing/2014/main" id="{6AB8C7CE-04FA-8C35-CA29-57B88BDBF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140290</xdr:colOff>
      <xdr:row>0</xdr:row>
      <xdr:rowOff>174794</xdr:rowOff>
    </xdr:from>
    <xdr:to>
      <xdr:col>14</xdr:col>
      <xdr:colOff>536005</xdr:colOff>
      <xdr:row>14</xdr:row>
      <xdr:rowOff>81222</xdr:rowOff>
    </xdr:to>
    <xdr:graphicFrame macro="">
      <xdr:nvGraphicFramePr>
        <xdr:cNvPr id="4" name="Chart 4">
          <a:extLst>
            <a:ext uri="{FF2B5EF4-FFF2-40B4-BE49-F238E27FC236}">
              <a16:creationId xmlns:a16="http://schemas.microsoft.com/office/drawing/2014/main" id="{A6BDE11B-3F65-74A9-56AD-35FB5F2A0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32615</xdr:colOff>
      <xdr:row>1</xdr:row>
      <xdr:rowOff>4619</xdr:rowOff>
    </xdr:from>
    <xdr:to>
      <xdr:col>12</xdr:col>
      <xdr:colOff>43006</xdr:colOff>
      <xdr:row>7</xdr:row>
      <xdr:rowOff>122672</xdr:rowOff>
    </xdr:to>
    <mc:AlternateContent xmlns:mc="http://schemas.openxmlformats.org/markup-compatibility/2006" xmlns:a14="http://schemas.microsoft.com/office/drawing/2010/main">
      <mc:Choice Requires="a14">
        <xdr:graphicFrame macro="">
          <xdr:nvGraphicFramePr>
            <xdr:cNvPr id="2" name="Discount Category">
              <a:extLst>
                <a:ext uri="{FF2B5EF4-FFF2-40B4-BE49-F238E27FC236}">
                  <a16:creationId xmlns:a16="http://schemas.microsoft.com/office/drawing/2014/main" id="{5002D2E5-B181-9CC3-CFF5-0B6F4CCA6FAC}"/>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9673070" y="192233"/>
              <a:ext cx="1828800" cy="1243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133639</xdr:colOff>
      <xdr:row>8</xdr:row>
      <xdr:rowOff>156152</xdr:rowOff>
    </xdr:from>
    <xdr:to>
      <xdr:col>12</xdr:col>
      <xdr:colOff>144030</xdr:colOff>
      <xdr:row>15</xdr:row>
      <xdr:rowOff>21647</xdr:rowOff>
    </xdr:to>
    <mc:AlternateContent xmlns:mc="http://schemas.openxmlformats.org/markup-compatibility/2006" xmlns:a14="http://schemas.microsoft.com/office/drawing/2010/main">
      <mc:Choice Requires="a14">
        <xdr:graphicFrame macro="">
          <xdr:nvGraphicFramePr>
            <xdr:cNvPr id="3" name="Rating Category">
              <a:extLst>
                <a:ext uri="{FF2B5EF4-FFF2-40B4-BE49-F238E27FC236}">
                  <a16:creationId xmlns:a16="http://schemas.microsoft.com/office/drawing/2014/main" id="{5A1D70A1-904F-C3D6-ADEB-64C275AAC394}"/>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9774094" y="1657061"/>
              <a:ext cx="1828800" cy="1178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115455</xdr:colOff>
      <xdr:row>0</xdr:row>
      <xdr:rowOff>132916</xdr:rowOff>
    </xdr:from>
    <xdr:to>
      <xdr:col>18</xdr:col>
      <xdr:colOff>454603</xdr:colOff>
      <xdr:row>13</xdr:row>
      <xdr:rowOff>36079</xdr:rowOff>
    </xdr:to>
    <xdr:graphicFrame macro="">
      <xdr:nvGraphicFramePr>
        <xdr:cNvPr id="4" name="Chart 3">
          <a:extLst>
            <a:ext uri="{FF2B5EF4-FFF2-40B4-BE49-F238E27FC236}">
              <a16:creationId xmlns:a16="http://schemas.microsoft.com/office/drawing/2014/main" id="{D6D8607A-532A-D83C-B339-18D83821F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145762</xdr:colOff>
      <xdr:row>8</xdr:row>
      <xdr:rowOff>82406</xdr:rowOff>
    </xdr:from>
    <xdr:to>
      <xdr:col>24</xdr:col>
      <xdr:colOff>93808</xdr:colOff>
      <xdr:row>23</xdr:row>
      <xdr:rowOff>11401</xdr:rowOff>
    </xdr:to>
    <xdr:graphicFrame macro="">
      <xdr:nvGraphicFramePr>
        <xdr:cNvPr id="5" name="Chart 4">
          <a:extLst>
            <a:ext uri="{FF2B5EF4-FFF2-40B4-BE49-F238E27FC236}">
              <a16:creationId xmlns:a16="http://schemas.microsoft.com/office/drawing/2014/main" id="{97DBA80C-7EBB-39A2-2A9B-5C3F20BD5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104775</xdr:colOff>
      <xdr:row>16</xdr:row>
      <xdr:rowOff>163368</xdr:rowOff>
    </xdr:from>
    <xdr:to>
      <xdr:col>12</xdr:col>
      <xdr:colOff>115166</xdr:colOff>
      <xdr:row>24</xdr:row>
      <xdr:rowOff>7216</xdr:rowOff>
    </xdr:to>
    <mc:AlternateContent xmlns:mc="http://schemas.openxmlformats.org/markup-compatibility/2006" xmlns:a14="http://schemas.microsoft.com/office/drawing/2010/main">
      <mc:Choice Requires="a14">
        <xdr:graphicFrame macro="">
          <xdr:nvGraphicFramePr>
            <xdr:cNvPr id="6" name="Price Range">
              <a:extLst>
                <a:ext uri="{FF2B5EF4-FFF2-40B4-BE49-F238E27FC236}">
                  <a16:creationId xmlns:a16="http://schemas.microsoft.com/office/drawing/2014/main" id="{3A233FB3-5787-A59F-6CA2-318BAB04C485}"/>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9745230" y="3165186"/>
              <a:ext cx="1828800" cy="1344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385260</xdr:colOff>
      <xdr:row>0</xdr:row>
      <xdr:rowOff>32635</xdr:rowOff>
    </xdr:from>
    <xdr:to>
      <xdr:col>20</xdr:col>
      <xdr:colOff>64259</xdr:colOff>
      <xdr:row>3</xdr:row>
      <xdr:rowOff>137224</xdr:rowOff>
    </xdr:to>
    <xdr:sp macro="" textlink="">
      <xdr:nvSpPr>
        <xdr:cNvPr id="2" name="Rectangle: Rounded Corners 1">
          <a:extLst>
            <a:ext uri="{FF2B5EF4-FFF2-40B4-BE49-F238E27FC236}">
              <a16:creationId xmlns:a16="http://schemas.microsoft.com/office/drawing/2014/main" id="{A4A072E0-C11C-2CE1-2CD4-E6B678F50091}"/>
            </a:ext>
          </a:extLst>
        </xdr:cNvPr>
        <xdr:cNvSpPr/>
      </xdr:nvSpPr>
      <xdr:spPr>
        <a:xfrm>
          <a:off x="3452633" y="32635"/>
          <a:ext cx="8881118" cy="6534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3200" b="1">
              <a:solidFill>
                <a:srgbClr val="00B050"/>
              </a:solidFill>
            </a:rPr>
            <a:t>JUMIA PRODUCTS PERFORMANCE DASHBOARD</a:t>
          </a:r>
        </a:p>
      </xdr:txBody>
    </xdr:sp>
    <xdr:clientData/>
  </xdr:twoCellAnchor>
  <xdr:twoCellAnchor>
    <xdr:from>
      <xdr:col>5</xdr:col>
      <xdr:colOff>377509</xdr:colOff>
      <xdr:row>5</xdr:row>
      <xdr:rowOff>1857</xdr:rowOff>
    </xdr:from>
    <xdr:to>
      <xdr:col>8</xdr:col>
      <xdr:colOff>493888</xdr:colOff>
      <xdr:row>9</xdr:row>
      <xdr:rowOff>82316</xdr:rowOff>
    </xdr:to>
    <xdr:sp macro="" textlink="">
      <xdr:nvSpPr>
        <xdr:cNvPr id="3" name="Rectangle: Rounded Corners 2">
          <a:extLst>
            <a:ext uri="{FF2B5EF4-FFF2-40B4-BE49-F238E27FC236}">
              <a16:creationId xmlns:a16="http://schemas.microsoft.com/office/drawing/2014/main" id="{A41245DB-D96A-B0D3-F03C-DA286B4E4210}"/>
            </a:ext>
          </a:extLst>
        </xdr:cNvPr>
        <xdr:cNvSpPr/>
      </xdr:nvSpPr>
      <xdr:spPr>
        <a:xfrm>
          <a:off x="3434916" y="942598"/>
          <a:ext cx="1950824" cy="833051"/>
        </a:xfrm>
        <a:prstGeom prst="roundRect">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a:solidFill>
                <a:schemeClr val="tx1"/>
              </a:solidFill>
            </a:rPr>
            <a:t>Total number of products:109</a:t>
          </a:r>
        </a:p>
      </xdr:txBody>
    </xdr:sp>
    <xdr:clientData/>
  </xdr:twoCellAnchor>
  <xdr:twoCellAnchor>
    <xdr:from>
      <xdr:col>9</xdr:col>
      <xdr:colOff>136753</xdr:colOff>
      <xdr:row>5</xdr:row>
      <xdr:rowOff>32151</xdr:rowOff>
    </xdr:from>
    <xdr:to>
      <xdr:col>12</xdr:col>
      <xdr:colOff>23517</xdr:colOff>
      <xdr:row>9</xdr:row>
      <xdr:rowOff>117593</xdr:rowOff>
    </xdr:to>
    <xdr:sp macro="" textlink="">
      <xdr:nvSpPr>
        <xdr:cNvPr id="4" name="Rectangle: Rounded Corners 3">
          <a:extLst>
            <a:ext uri="{FF2B5EF4-FFF2-40B4-BE49-F238E27FC236}">
              <a16:creationId xmlns:a16="http://schemas.microsoft.com/office/drawing/2014/main" id="{A7702ED3-F67A-3E8E-E280-3D103CFFCDDD}"/>
            </a:ext>
          </a:extLst>
        </xdr:cNvPr>
        <xdr:cNvSpPr/>
      </xdr:nvSpPr>
      <xdr:spPr>
        <a:xfrm>
          <a:off x="5640086" y="972892"/>
          <a:ext cx="1721209" cy="838034"/>
        </a:xfrm>
        <a:prstGeom prst="roundRect">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a:t>Average Rating:3.89</a:t>
          </a:r>
        </a:p>
      </xdr:txBody>
    </xdr:sp>
    <xdr:clientData/>
  </xdr:twoCellAnchor>
  <xdr:twoCellAnchor>
    <xdr:from>
      <xdr:col>16</xdr:col>
      <xdr:colOff>121866</xdr:colOff>
      <xdr:row>5</xdr:row>
      <xdr:rowOff>69311</xdr:rowOff>
    </xdr:from>
    <xdr:to>
      <xdr:col>19</xdr:col>
      <xdr:colOff>270463</xdr:colOff>
      <xdr:row>9</xdr:row>
      <xdr:rowOff>141111</xdr:rowOff>
    </xdr:to>
    <xdr:sp macro="" textlink="">
      <xdr:nvSpPr>
        <xdr:cNvPr id="5" name="Rectangle: Rounded Corners 4">
          <a:extLst>
            <a:ext uri="{FF2B5EF4-FFF2-40B4-BE49-F238E27FC236}">
              <a16:creationId xmlns:a16="http://schemas.microsoft.com/office/drawing/2014/main" id="{D2AA6C58-161F-05C6-E8AA-F1ACFE5E5B7F}"/>
            </a:ext>
          </a:extLst>
        </xdr:cNvPr>
        <xdr:cNvSpPr/>
      </xdr:nvSpPr>
      <xdr:spPr>
        <a:xfrm>
          <a:off x="9905570" y="1010052"/>
          <a:ext cx="1983041" cy="824392"/>
        </a:xfrm>
        <a:prstGeom prst="roundRect">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a:t>Average Discount %:37%</a:t>
          </a:r>
        </a:p>
      </xdr:txBody>
    </xdr:sp>
    <xdr:clientData/>
  </xdr:twoCellAnchor>
  <xdr:twoCellAnchor>
    <xdr:from>
      <xdr:col>12</xdr:col>
      <xdr:colOff>286205</xdr:colOff>
      <xdr:row>5</xdr:row>
      <xdr:rowOff>18330</xdr:rowOff>
    </xdr:from>
    <xdr:to>
      <xdr:col>15</xdr:col>
      <xdr:colOff>470370</xdr:colOff>
      <xdr:row>10</xdr:row>
      <xdr:rowOff>1</xdr:rowOff>
    </xdr:to>
    <xdr:sp macro="" textlink="">
      <xdr:nvSpPr>
        <xdr:cNvPr id="6" name="Rectangle: Rounded Corners 5">
          <a:extLst>
            <a:ext uri="{FF2B5EF4-FFF2-40B4-BE49-F238E27FC236}">
              <a16:creationId xmlns:a16="http://schemas.microsoft.com/office/drawing/2014/main" id="{7423D98B-1B3C-0E78-BD29-24176F9BCDF4}"/>
            </a:ext>
          </a:extLst>
        </xdr:cNvPr>
        <xdr:cNvSpPr/>
      </xdr:nvSpPr>
      <xdr:spPr>
        <a:xfrm>
          <a:off x="7623983" y="959071"/>
          <a:ext cx="2018609" cy="922411"/>
        </a:xfrm>
        <a:prstGeom prst="roundRect">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a:t>Total Number Of Reviews:112</a:t>
          </a:r>
        </a:p>
      </xdr:txBody>
    </xdr:sp>
    <xdr:clientData/>
  </xdr:twoCellAnchor>
  <xdr:twoCellAnchor>
    <xdr:from>
      <xdr:col>21</xdr:col>
      <xdr:colOff>338667</xdr:colOff>
      <xdr:row>5</xdr:row>
      <xdr:rowOff>70556</xdr:rowOff>
    </xdr:from>
    <xdr:to>
      <xdr:col>30</xdr:col>
      <xdr:colOff>573852</xdr:colOff>
      <xdr:row>25</xdr:row>
      <xdr:rowOff>14111</xdr:rowOff>
    </xdr:to>
    <xdr:graphicFrame macro="">
      <xdr:nvGraphicFramePr>
        <xdr:cNvPr id="8" name="Chart 7">
          <a:extLst>
            <a:ext uri="{FF2B5EF4-FFF2-40B4-BE49-F238E27FC236}">
              <a16:creationId xmlns:a16="http://schemas.microsoft.com/office/drawing/2014/main" id="{2159FFAD-935A-449D-8AFE-20F7BD564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578556</xdr:colOff>
      <xdr:row>28</xdr:row>
      <xdr:rowOff>99078</xdr:rowOff>
    </xdr:from>
    <xdr:to>
      <xdr:col>41</xdr:col>
      <xdr:colOff>536221</xdr:colOff>
      <xdr:row>49</xdr:row>
      <xdr:rowOff>84666</xdr:rowOff>
    </xdr:to>
    <xdr:graphicFrame macro="">
      <xdr:nvGraphicFramePr>
        <xdr:cNvPr id="10" name="Chart 9">
          <a:extLst>
            <a:ext uri="{FF2B5EF4-FFF2-40B4-BE49-F238E27FC236}">
              <a16:creationId xmlns:a16="http://schemas.microsoft.com/office/drawing/2014/main" id="{E726B26B-A438-4E3E-8A29-9061DAFFC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11758</xdr:colOff>
      <xdr:row>5</xdr:row>
      <xdr:rowOff>42334</xdr:rowOff>
    </xdr:from>
    <xdr:to>
      <xdr:col>41</xdr:col>
      <xdr:colOff>564443</xdr:colOff>
      <xdr:row>25</xdr:row>
      <xdr:rowOff>169333</xdr:rowOff>
    </xdr:to>
    <xdr:graphicFrame macro="">
      <xdr:nvGraphicFramePr>
        <xdr:cNvPr id="11" name="Chart 10">
          <a:extLst>
            <a:ext uri="{FF2B5EF4-FFF2-40B4-BE49-F238E27FC236}">
              <a16:creationId xmlns:a16="http://schemas.microsoft.com/office/drawing/2014/main" id="{802F158D-F01D-4F3E-B28A-2F60D1616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324557</xdr:colOff>
      <xdr:row>28</xdr:row>
      <xdr:rowOff>98778</xdr:rowOff>
    </xdr:from>
    <xdr:to>
      <xdr:col>31</xdr:col>
      <xdr:colOff>21169</xdr:colOff>
      <xdr:row>49</xdr:row>
      <xdr:rowOff>28221</xdr:rowOff>
    </xdr:to>
    <xdr:graphicFrame macro="">
      <xdr:nvGraphicFramePr>
        <xdr:cNvPr id="13" name="Chart 3">
          <a:extLst>
            <a:ext uri="{FF2B5EF4-FFF2-40B4-BE49-F238E27FC236}">
              <a16:creationId xmlns:a16="http://schemas.microsoft.com/office/drawing/2014/main" id="{DA3592F3-0A71-437C-88A4-D426A2A04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225777</xdr:colOff>
      <xdr:row>24</xdr:row>
      <xdr:rowOff>169333</xdr:rowOff>
    </xdr:from>
    <xdr:to>
      <xdr:col>21</xdr:col>
      <xdr:colOff>14111</xdr:colOff>
      <xdr:row>47</xdr:row>
      <xdr:rowOff>169332</xdr:rowOff>
    </xdr:to>
    <xdr:graphicFrame macro="">
      <xdr:nvGraphicFramePr>
        <xdr:cNvPr id="15" name="Chart 4">
          <a:extLst>
            <a:ext uri="{FF2B5EF4-FFF2-40B4-BE49-F238E27FC236}">
              <a16:creationId xmlns:a16="http://schemas.microsoft.com/office/drawing/2014/main" id="{3A2B2BBB-3158-418C-AAB3-F4E591CD5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36115</xdr:colOff>
      <xdr:row>10</xdr:row>
      <xdr:rowOff>178740</xdr:rowOff>
    </xdr:from>
    <xdr:to>
      <xdr:col>15</xdr:col>
      <xdr:colOff>310443</xdr:colOff>
      <xdr:row>20</xdr:row>
      <xdr:rowOff>84667</xdr:rowOff>
    </xdr:to>
    <mc:AlternateContent xmlns:mc="http://schemas.openxmlformats.org/markup-compatibility/2006" xmlns:a14="http://schemas.microsoft.com/office/drawing/2010/main">
      <mc:Choice Requires="a14">
        <xdr:graphicFrame macro="">
          <xdr:nvGraphicFramePr>
            <xdr:cNvPr id="17" name="Discount Category 1">
              <a:extLst>
                <a:ext uri="{FF2B5EF4-FFF2-40B4-BE49-F238E27FC236}">
                  <a16:creationId xmlns:a16="http://schemas.microsoft.com/office/drawing/2014/main" id="{21BB2E29-E875-470F-B42A-A13BB282921F}"/>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6710671" y="2013184"/>
              <a:ext cx="2701439" cy="1740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67380</xdr:colOff>
      <xdr:row>10</xdr:row>
      <xdr:rowOff>152872</xdr:rowOff>
    </xdr:from>
    <xdr:to>
      <xdr:col>20</xdr:col>
      <xdr:colOff>225777</xdr:colOff>
      <xdr:row>20</xdr:row>
      <xdr:rowOff>42333</xdr:rowOff>
    </xdr:to>
    <mc:AlternateContent xmlns:mc="http://schemas.openxmlformats.org/markup-compatibility/2006" xmlns:a14="http://schemas.microsoft.com/office/drawing/2010/main">
      <mc:Choice Requires="a14">
        <xdr:graphicFrame macro="">
          <xdr:nvGraphicFramePr>
            <xdr:cNvPr id="18" name="Rating Category 1">
              <a:extLst>
                <a:ext uri="{FF2B5EF4-FFF2-40B4-BE49-F238E27FC236}">
                  <a16:creationId xmlns:a16="http://schemas.microsoft.com/office/drawing/2014/main" id="{B5FABD29-8A9F-4164-9A5C-F3A0A574B8B2}"/>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9775824" y="1987316"/>
              <a:ext cx="2585509" cy="1723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84667</xdr:colOff>
      <xdr:row>36</xdr:row>
      <xdr:rowOff>141111</xdr:rowOff>
    </xdr:from>
    <xdr:to>
      <xdr:col>10</xdr:col>
      <xdr:colOff>338666</xdr:colOff>
      <xdr:row>51</xdr:row>
      <xdr:rowOff>112888</xdr:rowOff>
    </xdr:to>
    <xdr:graphicFrame macro="">
      <xdr:nvGraphicFramePr>
        <xdr:cNvPr id="19" name="Chart 18">
          <a:extLst>
            <a:ext uri="{FF2B5EF4-FFF2-40B4-BE49-F238E27FC236}">
              <a16:creationId xmlns:a16="http://schemas.microsoft.com/office/drawing/2014/main" id="{AC84CC57-5B53-4379-8857-2A1442858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203768</xdr:colOff>
      <xdr:row>19</xdr:row>
      <xdr:rowOff>141113</xdr:rowOff>
    </xdr:from>
    <xdr:to>
      <xdr:col>6</xdr:col>
      <xdr:colOff>283823</xdr:colOff>
      <xdr:row>35</xdr:row>
      <xdr:rowOff>55435</xdr:rowOff>
    </xdr:to>
    <xdr:graphicFrame macro="">
      <xdr:nvGraphicFramePr>
        <xdr:cNvPr id="20" name="Chart 19">
          <a:extLst>
            <a:ext uri="{FF2B5EF4-FFF2-40B4-BE49-F238E27FC236}">
              <a16:creationId xmlns:a16="http://schemas.microsoft.com/office/drawing/2014/main" id="{54DD24DD-C3B8-43A0-9D30-DED333A97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381000</xdr:colOff>
      <xdr:row>10</xdr:row>
      <xdr:rowOff>84667</xdr:rowOff>
    </xdr:from>
    <xdr:to>
      <xdr:col>10</xdr:col>
      <xdr:colOff>268111</xdr:colOff>
      <xdr:row>19</xdr:row>
      <xdr:rowOff>91723</xdr:rowOff>
    </xdr:to>
    <mc:AlternateContent xmlns:mc="http://schemas.openxmlformats.org/markup-compatibility/2006" xmlns:a14="http://schemas.microsoft.com/office/drawing/2010/main">
      <mc:Choice Requires="a14">
        <xdr:graphicFrame macro="">
          <xdr:nvGraphicFramePr>
            <xdr:cNvPr id="21" name="Price Range 1">
              <a:extLst>
                <a:ext uri="{FF2B5EF4-FFF2-40B4-BE49-F238E27FC236}">
                  <a16:creationId xmlns:a16="http://schemas.microsoft.com/office/drawing/2014/main" id="{F41C8263-30E9-4F9E-8074-44CB412949FB}"/>
                </a:ext>
              </a:extLst>
            </xdr:cNvPr>
            <xdr:cNvGraphicFramePr/>
          </xdr:nvGraphicFramePr>
          <xdr:xfrm>
            <a:off x="0" y="0"/>
            <a:ext cx="0" cy="0"/>
          </xdr:xfrm>
          <a:graphic>
            <a:graphicData uri="http://schemas.microsoft.com/office/drawing/2010/slicer">
              <sle:slicer xmlns:sle="http://schemas.microsoft.com/office/drawing/2010/slicer" name="Price Range 1"/>
            </a:graphicData>
          </a:graphic>
        </xdr:graphicFrame>
      </mc:Choice>
      <mc:Fallback xmlns="">
        <xdr:sp macro="" textlink="">
          <xdr:nvSpPr>
            <xdr:cNvPr id="0" name=""/>
            <xdr:cNvSpPr>
              <a:spLocks noTextEdit="1"/>
            </xdr:cNvSpPr>
          </xdr:nvSpPr>
          <xdr:spPr>
            <a:xfrm>
              <a:off x="3414889" y="1919111"/>
              <a:ext cx="2921000" cy="1658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ACY" refreshedDate="46104.772570370369" createdVersion="8" refreshedVersion="8" minRefreshableVersion="3" recordCount="112" xr:uid="{B3599D64-DA4F-430C-B84E-1F7C9D221E2E}">
  <cacheSource type="worksheet">
    <worksheetSource ref="A1:K113" sheet="Excel_jumia"/>
  </cacheSource>
  <cacheFields count="11">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1">
      <sharedItems containsSemiMixedTypes="0" containsString="0" containsNumber="1" containsInteger="1" minValue="38" maxValue="3750"/>
    </cacheField>
    <cacheField name="Price Range" numFmtId="1">
      <sharedItems count="3">
        <s v="Low Price"/>
        <s v="High Price"/>
        <s v="Medium Price"/>
      </sharedItems>
    </cacheField>
    <cacheField name="Old price" numFmtId="1">
      <sharedItems containsSemiMixedTypes="0" containsString="0" containsNumber="1" containsInteger="1" minValue="80" maxValue="6143"/>
    </cacheField>
    <cacheField name="Discount Amount" numFmtId="1">
      <sharedItems containsSemiMixedTypes="0" containsString="0" containsNumber="1" containsInteger="1" minValue="24" maxValue="2585" count="103">
        <n v="575"/>
        <n v="472"/>
        <n v="724"/>
        <n v="919"/>
        <n v="616"/>
        <n v="291"/>
        <n v="713"/>
        <n v="592"/>
        <n v="1526"/>
        <n v="1329"/>
        <n v="200"/>
        <n v="510"/>
        <n v="483"/>
        <n v="359"/>
        <n v="819"/>
        <n v="352"/>
        <n v="165"/>
        <n v="1946"/>
        <n v="700"/>
        <n v="968"/>
        <n v="42"/>
        <n v="1360"/>
        <n v="470"/>
        <n v="500"/>
        <n v="2452"/>
        <n v="227"/>
        <n v="640"/>
        <n v="741"/>
        <n v="1880"/>
        <n v="197"/>
        <n v="1670"/>
        <n v="710"/>
        <n v="719"/>
        <n v="1070"/>
        <n v="189"/>
        <n v="267"/>
        <n v="1400"/>
        <n v="1721"/>
        <n v="456"/>
        <n v="238"/>
        <n v="450"/>
        <n v="37"/>
        <n v="1001"/>
        <n v="595"/>
        <n v="645"/>
        <n v="750"/>
        <n v="305"/>
        <n v="301"/>
        <n v="39"/>
        <n v="85"/>
        <n v="40"/>
        <n v="544"/>
        <n v="401"/>
        <n v="644"/>
        <n v="768"/>
        <n v="1011"/>
        <n v="497"/>
        <n v="330"/>
        <n v="528"/>
        <n v="2585"/>
        <n v="428"/>
        <n v="355"/>
        <n v="335"/>
        <n v="824"/>
        <n v="1000"/>
        <n v="2393"/>
        <n v="318"/>
        <n v="940"/>
        <n v="257"/>
        <n v="390"/>
        <n v="846"/>
        <n v="1418"/>
        <n v="695"/>
        <n v="67"/>
        <n v="220"/>
        <n v="1010"/>
        <n v="941"/>
        <n v="830"/>
        <n v="33"/>
        <n v="317"/>
        <n v="169"/>
        <n v="233"/>
        <n v="263"/>
        <n v="101"/>
        <n v="631"/>
        <n v="231"/>
        <n v="850"/>
        <n v="1200"/>
        <n v="95"/>
        <n v="800"/>
        <n v="134"/>
        <n v="153"/>
        <n v="504"/>
        <n v="794"/>
        <n v="948"/>
        <n v="24"/>
        <n v="62"/>
        <n v="587"/>
        <n v="620"/>
        <n v="41"/>
        <n v="31"/>
        <n v="354"/>
        <n v="151"/>
      </sharedItems>
    </cacheField>
    <cacheField name="Discount" numFmtId="9">
      <sharedItems containsSemiMixedTypes="0" containsString="0" containsNumber="1" containsInteger="1" minValue="1" maxValue="64"/>
    </cacheField>
    <cacheField name="Clean Discount" numFmtId="9">
      <sharedItems containsSemiMixedTypes="0" containsString="0" containsNumber="1" minValue="0.01" maxValue="0.64"/>
    </cacheField>
    <cacheField name="Discount Category" numFmtId="9">
      <sharedItems count="3">
        <s v="Medium"/>
        <s v="High"/>
        <s v="Low"/>
      </sharedItems>
    </cacheField>
    <cacheField name="Review" numFmtId="1">
      <sharedItems containsMixedTypes="1" containsNumber="1" containsInteger="1" minValue="1" maxValue="69" count="24">
        <n v="2"/>
        <n v="14"/>
        <n v="24"/>
        <n v="7"/>
        <n v="5"/>
        <n v="15"/>
        <n v="55"/>
        <n v="12"/>
        <n v="39"/>
        <n v="6"/>
        <n v="9"/>
        <n v="3"/>
        <n v="44"/>
        <n v="13"/>
        <s v="null"/>
        <n v="49"/>
        <n v="20"/>
        <n v="32"/>
        <n v="1"/>
        <n v="36"/>
        <n v="10"/>
        <n v="69"/>
        <n v="16"/>
        <n v="17"/>
      </sharedItems>
    </cacheField>
    <cacheField name="Ratingd" numFmtId="164">
      <sharedItems containsMixedTypes="1" containsNumber="1" minValue="2" maxValue="5"/>
    </cacheField>
    <cacheField name="Rating Category" numFmtId="0">
      <sharedItems count="3">
        <s v="Excellent"/>
        <s v="Average"/>
        <s v="Poor"/>
      </sharedItems>
    </cacheField>
  </cacheFields>
  <extLst>
    <ext xmlns:x14="http://schemas.microsoft.com/office/spreadsheetml/2009/9/main" uri="{725AE2AE-9491-48be-B2B4-4EB974FC3084}">
      <x14:pivotCacheDefinition pivotCacheId="874554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x v="0"/>
    <n v="1525"/>
    <x v="0"/>
    <n v="38"/>
    <n v="0.38"/>
    <x v="0"/>
    <x v="0"/>
    <n v="4.5"/>
    <x v="0"/>
  </r>
  <r>
    <x v="1"/>
    <n v="527"/>
    <x v="0"/>
    <n v="999"/>
    <x v="1"/>
    <n v="47"/>
    <n v="0.47"/>
    <x v="1"/>
    <x v="1"/>
    <n v="4.0999999999999996"/>
    <x v="1"/>
  </r>
  <r>
    <x v="2"/>
    <n v="2199"/>
    <x v="1"/>
    <n v="2923"/>
    <x v="2"/>
    <n v="25"/>
    <n v="0.25"/>
    <x v="0"/>
    <x v="2"/>
    <n v="4.5999999999999996"/>
    <x v="0"/>
  </r>
  <r>
    <x v="3"/>
    <n v="1580"/>
    <x v="2"/>
    <n v="2499"/>
    <x v="3"/>
    <n v="37"/>
    <n v="0.37"/>
    <x v="0"/>
    <x v="3"/>
    <n v="4.7"/>
    <x v="0"/>
  </r>
  <r>
    <x v="4"/>
    <n v="1740"/>
    <x v="2"/>
    <n v="2356"/>
    <x v="4"/>
    <n v="26"/>
    <n v="0.26"/>
    <x v="0"/>
    <x v="4"/>
    <n v="4.8"/>
    <x v="0"/>
  </r>
  <r>
    <x v="5"/>
    <n v="2999"/>
    <x v="1"/>
    <n v="3290"/>
    <x v="5"/>
    <n v="9"/>
    <n v="0.09"/>
    <x v="2"/>
    <x v="5"/>
    <n v="4"/>
    <x v="1"/>
  </r>
  <r>
    <x v="6"/>
    <n v="2319"/>
    <x v="1"/>
    <n v="3032"/>
    <x v="6"/>
    <n v="24"/>
    <n v="0.24"/>
    <x v="0"/>
    <x v="6"/>
    <n v="4.5999999999999996"/>
    <x v="0"/>
  </r>
  <r>
    <x v="7"/>
    <n v="988"/>
    <x v="0"/>
    <n v="1580"/>
    <x v="7"/>
    <n v="37"/>
    <n v="0.37"/>
    <x v="0"/>
    <x v="0"/>
    <n v="4"/>
    <x v="1"/>
  </r>
  <r>
    <x v="8"/>
    <n v="1274"/>
    <x v="2"/>
    <n v="2800"/>
    <x v="8"/>
    <n v="55"/>
    <n v="0.55000000000000004"/>
    <x v="1"/>
    <x v="4"/>
    <n v="4.8"/>
    <x v="0"/>
  </r>
  <r>
    <x v="9"/>
    <n v="1600"/>
    <x v="2"/>
    <n v="2929"/>
    <x v="9"/>
    <n v="45"/>
    <n v="0.45"/>
    <x v="1"/>
    <x v="4"/>
    <n v="3.8"/>
    <x v="1"/>
  </r>
  <r>
    <x v="10"/>
    <n v="799"/>
    <x v="0"/>
    <n v="999"/>
    <x v="10"/>
    <n v="20"/>
    <n v="0.2"/>
    <x v="0"/>
    <x v="7"/>
    <n v="4.0999999999999996"/>
    <x v="1"/>
  </r>
  <r>
    <x v="11"/>
    <n v="990"/>
    <x v="0"/>
    <n v="1500"/>
    <x v="11"/>
    <n v="34"/>
    <n v="0.34"/>
    <x v="0"/>
    <x v="8"/>
    <n v="4.7"/>
    <x v="0"/>
  </r>
  <r>
    <x v="12"/>
    <n v="552"/>
    <x v="0"/>
    <n v="1035"/>
    <x v="12"/>
    <n v="47"/>
    <n v="0.47"/>
    <x v="1"/>
    <x v="7"/>
    <n v="4.8"/>
    <x v="0"/>
  </r>
  <r>
    <x v="13"/>
    <n v="501"/>
    <x v="0"/>
    <n v="860"/>
    <x v="13"/>
    <n v="42"/>
    <n v="0.42"/>
    <x v="1"/>
    <x v="9"/>
    <n v="4.5"/>
    <x v="0"/>
  </r>
  <r>
    <x v="14"/>
    <n v="1680"/>
    <x v="2"/>
    <n v="2499"/>
    <x v="14"/>
    <n v="33"/>
    <n v="0.33"/>
    <x v="0"/>
    <x v="10"/>
    <n v="4.2"/>
    <x v="1"/>
  </r>
  <r>
    <x v="15"/>
    <n v="332"/>
    <x v="0"/>
    <n v="684"/>
    <x v="15"/>
    <n v="51"/>
    <n v="0.51"/>
    <x v="1"/>
    <x v="0"/>
    <n v="5"/>
    <x v="0"/>
  </r>
  <r>
    <x v="16"/>
    <n v="195"/>
    <x v="0"/>
    <n v="360"/>
    <x v="16"/>
    <n v="46"/>
    <n v="0.46"/>
    <x v="1"/>
    <x v="0"/>
    <n v="5"/>
    <x v="0"/>
  </r>
  <r>
    <x v="17"/>
    <n v="2025"/>
    <x v="1"/>
    <n v="3971"/>
    <x v="17"/>
    <n v="49"/>
    <n v="0.49"/>
    <x v="1"/>
    <x v="11"/>
    <n v="5"/>
    <x v="0"/>
  </r>
  <r>
    <x v="18"/>
    <n v="2999"/>
    <x v="1"/>
    <n v="3699"/>
    <x v="18"/>
    <n v="19"/>
    <n v="0.19"/>
    <x v="2"/>
    <x v="4"/>
    <n v="4.5999999999999996"/>
    <x v="0"/>
  </r>
  <r>
    <x v="19"/>
    <n v="998"/>
    <x v="0"/>
    <n v="1966"/>
    <x v="19"/>
    <n v="49"/>
    <n v="0.49"/>
    <x v="1"/>
    <x v="12"/>
    <n v="4.5999999999999996"/>
    <x v="0"/>
  </r>
  <r>
    <x v="20"/>
    <n v="38"/>
    <x v="0"/>
    <n v="80"/>
    <x v="20"/>
    <n v="53"/>
    <n v="0.53"/>
    <x v="1"/>
    <x v="13"/>
    <n v="3.3"/>
    <x v="1"/>
  </r>
  <r>
    <x v="21"/>
    <n v="1860"/>
    <x v="2"/>
    <n v="3220"/>
    <x v="21"/>
    <n v="42"/>
    <n v="0.42"/>
    <x v="1"/>
    <x v="14"/>
    <s v="null"/>
    <x v="0"/>
  </r>
  <r>
    <x v="22"/>
    <n v="880"/>
    <x v="0"/>
    <n v="1350"/>
    <x v="22"/>
    <n v="35"/>
    <n v="0.35"/>
    <x v="0"/>
    <x v="9"/>
    <n v="4"/>
    <x v="1"/>
  </r>
  <r>
    <x v="23"/>
    <n v="1650"/>
    <x v="2"/>
    <n v="2150"/>
    <x v="23"/>
    <n v="23"/>
    <n v="0.23"/>
    <x v="0"/>
    <x v="1"/>
    <n v="4.4000000000000004"/>
    <x v="1"/>
  </r>
  <r>
    <x v="24"/>
    <n v="2048"/>
    <x v="1"/>
    <n v="4500"/>
    <x v="24"/>
    <n v="54"/>
    <n v="0.54"/>
    <x v="1"/>
    <x v="3"/>
    <n v="4.3"/>
    <x v="1"/>
  </r>
  <r>
    <x v="25"/>
    <n v="420"/>
    <x v="0"/>
    <n v="647"/>
    <x v="25"/>
    <n v="35"/>
    <n v="0.35"/>
    <x v="0"/>
    <x v="15"/>
    <n v="4.5999999999999996"/>
    <x v="0"/>
  </r>
  <r>
    <x v="26"/>
    <n v="2880"/>
    <x v="1"/>
    <n v="3520"/>
    <x v="26"/>
    <n v="18"/>
    <n v="0.18"/>
    <x v="2"/>
    <x v="7"/>
    <n v="3.8"/>
    <x v="1"/>
  </r>
  <r>
    <x v="27"/>
    <n v="1350"/>
    <x v="2"/>
    <n v="1990"/>
    <x v="26"/>
    <n v="32"/>
    <n v="0.32"/>
    <x v="0"/>
    <x v="13"/>
    <n v="3.8"/>
    <x v="1"/>
  </r>
  <r>
    <x v="28"/>
    <n v="1758"/>
    <x v="2"/>
    <n v="2499"/>
    <x v="27"/>
    <n v="30"/>
    <n v="0.3"/>
    <x v="0"/>
    <x v="16"/>
    <n v="4.0999999999999996"/>
    <x v="1"/>
  </r>
  <r>
    <x v="29"/>
    <n v="2200"/>
    <x v="1"/>
    <n v="4080"/>
    <x v="28"/>
    <n v="46"/>
    <n v="0.46"/>
    <x v="1"/>
    <x v="14"/>
    <s v="null"/>
    <x v="0"/>
  </r>
  <r>
    <x v="30"/>
    <n v="185"/>
    <x v="0"/>
    <n v="382"/>
    <x v="29"/>
    <n v="52"/>
    <n v="0.52"/>
    <x v="1"/>
    <x v="10"/>
    <n v="4.3"/>
    <x v="1"/>
  </r>
  <r>
    <x v="31"/>
    <n v="980"/>
    <x v="0"/>
    <n v="1490"/>
    <x v="11"/>
    <n v="34"/>
    <n v="0.34"/>
    <x v="0"/>
    <x v="7"/>
    <n v="4.7"/>
    <x v="0"/>
  </r>
  <r>
    <x v="32"/>
    <n v="1820"/>
    <x v="2"/>
    <n v="3490"/>
    <x v="30"/>
    <n v="48"/>
    <n v="0.48"/>
    <x v="1"/>
    <x v="10"/>
    <n v="4.3"/>
    <x v="1"/>
  </r>
  <r>
    <x v="33"/>
    <n v="1940"/>
    <x v="2"/>
    <n v="2650"/>
    <x v="31"/>
    <n v="27"/>
    <n v="0.27"/>
    <x v="0"/>
    <x v="16"/>
    <n v="4.7"/>
    <x v="0"/>
  </r>
  <r>
    <x v="34"/>
    <n v="1980"/>
    <x v="2"/>
    <n v="2699"/>
    <x v="32"/>
    <n v="27"/>
    <n v="0.27"/>
    <x v="0"/>
    <x v="17"/>
    <n v="4.5"/>
    <x v="0"/>
  </r>
  <r>
    <x v="35"/>
    <n v="1620"/>
    <x v="2"/>
    <n v="2690"/>
    <x v="33"/>
    <n v="40"/>
    <n v="0.4"/>
    <x v="0"/>
    <x v="18"/>
    <n v="5"/>
    <x v="0"/>
  </r>
  <r>
    <x v="36"/>
    <n v="171"/>
    <x v="0"/>
    <n v="360"/>
    <x v="34"/>
    <n v="53"/>
    <n v="0.53"/>
    <x v="1"/>
    <x v="0"/>
    <n v="5"/>
    <x v="0"/>
  </r>
  <r>
    <x v="37"/>
    <n v="389"/>
    <x v="0"/>
    <n v="656"/>
    <x v="35"/>
    <n v="41"/>
    <n v="0.41"/>
    <x v="1"/>
    <x v="19"/>
    <n v="4.3"/>
    <x v="1"/>
  </r>
  <r>
    <x v="38"/>
    <n v="1800"/>
    <x v="2"/>
    <n v="3200"/>
    <x v="36"/>
    <n v="38"/>
    <n v="0.38"/>
    <x v="0"/>
    <x v="0"/>
    <n v="4.5"/>
    <x v="0"/>
  </r>
  <r>
    <x v="39"/>
    <n v="2750"/>
    <x v="1"/>
    <n v="4471"/>
    <x v="37"/>
    <n v="38"/>
    <n v="0.38"/>
    <x v="0"/>
    <x v="14"/>
    <s v="null"/>
    <x v="0"/>
  </r>
  <r>
    <x v="40"/>
    <n v="475"/>
    <x v="0"/>
    <n v="931"/>
    <x v="38"/>
    <n v="49"/>
    <n v="0.49"/>
    <x v="1"/>
    <x v="14"/>
    <s v="null"/>
    <x v="0"/>
  </r>
  <r>
    <x v="41"/>
    <n v="238"/>
    <x v="0"/>
    <n v="476"/>
    <x v="39"/>
    <n v="50"/>
    <n v="0.5"/>
    <x v="1"/>
    <x v="14"/>
    <s v="null"/>
    <x v="0"/>
  </r>
  <r>
    <x v="42"/>
    <n v="610"/>
    <x v="0"/>
    <n v="1060"/>
    <x v="40"/>
    <n v="42"/>
    <n v="0.42"/>
    <x v="1"/>
    <x v="14"/>
    <s v="null"/>
    <x v="0"/>
  </r>
  <r>
    <x v="43"/>
    <n v="2132"/>
    <x v="1"/>
    <n v="2169"/>
    <x v="41"/>
    <n v="2"/>
    <n v="0.02"/>
    <x v="2"/>
    <x v="14"/>
    <s v="null"/>
    <x v="0"/>
  </r>
  <r>
    <x v="44"/>
    <n v="999"/>
    <x v="0"/>
    <n v="2000"/>
    <x v="42"/>
    <n v="50"/>
    <n v="0.5"/>
    <x v="1"/>
    <x v="14"/>
    <s v="null"/>
    <x v="0"/>
  </r>
  <r>
    <x v="45"/>
    <n v="1190"/>
    <x v="2"/>
    <n v="1785"/>
    <x v="43"/>
    <n v="33"/>
    <n v="0.33"/>
    <x v="0"/>
    <x v="14"/>
    <s v="null"/>
    <x v="0"/>
  </r>
  <r>
    <x v="46"/>
    <n v="671"/>
    <x v="0"/>
    <n v="1316"/>
    <x v="44"/>
    <n v="49"/>
    <n v="0.49"/>
    <x v="1"/>
    <x v="14"/>
    <s v="null"/>
    <x v="0"/>
  </r>
  <r>
    <x v="47"/>
    <n v="1200"/>
    <x v="2"/>
    <n v="1950"/>
    <x v="45"/>
    <n v="38"/>
    <n v="0.38"/>
    <x v="0"/>
    <x v="14"/>
    <s v="null"/>
    <x v="0"/>
  </r>
  <r>
    <x v="48"/>
    <n v="199"/>
    <x v="0"/>
    <n v="504"/>
    <x v="46"/>
    <n v="61"/>
    <n v="0.61"/>
    <x v="1"/>
    <x v="14"/>
    <s v="null"/>
    <x v="0"/>
  </r>
  <r>
    <x v="49"/>
    <n v="299"/>
    <x v="0"/>
    <n v="600"/>
    <x v="47"/>
    <n v="50"/>
    <n v="0.5"/>
    <x v="1"/>
    <x v="14"/>
    <s v="null"/>
    <x v="0"/>
  </r>
  <r>
    <x v="50"/>
    <n v="1660"/>
    <x v="2"/>
    <n v="1699"/>
    <x v="48"/>
    <n v="2"/>
    <n v="0.02"/>
    <x v="2"/>
    <x v="14"/>
    <s v="null"/>
    <x v="0"/>
  </r>
  <r>
    <x v="51"/>
    <n v="299"/>
    <x v="0"/>
    <n v="384"/>
    <x v="49"/>
    <n v="22"/>
    <n v="0.22"/>
    <x v="0"/>
    <x v="14"/>
    <s v="null"/>
    <x v="0"/>
  </r>
  <r>
    <x v="52"/>
    <n v="1459"/>
    <x v="2"/>
    <n v="1499"/>
    <x v="50"/>
    <n v="3"/>
    <n v="0.03"/>
    <x v="2"/>
    <x v="14"/>
    <s v="null"/>
    <x v="0"/>
  </r>
  <r>
    <x v="53"/>
    <n v="799"/>
    <x v="0"/>
    <n v="1343"/>
    <x v="51"/>
    <n v="41"/>
    <n v="0.41"/>
    <x v="1"/>
    <x v="14"/>
    <s v="null"/>
    <x v="0"/>
  </r>
  <r>
    <x v="54"/>
    <n v="499"/>
    <x v="0"/>
    <n v="900"/>
    <x v="52"/>
    <n v="45"/>
    <n v="0.45"/>
    <x v="1"/>
    <x v="14"/>
    <s v="null"/>
    <x v="0"/>
  </r>
  <r>
    <x v="55"/>
    <n v="699"/>
    <x v="0"/>
    <n v="1343"/>
    <x v="53"/>
    <n v="48"/>
    <n v="0.48"/>
    <x v="1"/>
    <x v="14"/>
    <s v="null"/>
    <x v="0"/>
  </r>
  <r>
    <x v="56"/>
    <n v="799"/>
    <x v="0"/>
    <n v="1567"/>
    <x v="54"/>
    <n v="49"/>
    <n v="0.49"/>
    <x v="1"/>
    <x v="14"/>
    <s v="null"/>
    <x v="0"/>
  </r>
  <r>
    <x v="57"/>
    <n v="2799"/>
    <x v="1"/>
    <n v="3810"/>
    <x v="55"/>
    <n v="27"/>
    <n v="0.27"/>
    <x v="0"/>
    <x v="14"/>
    <s v="null"/>
    <x v="0"/>
  </r>
  <r>
    <x v="58"/>
    <n v="399"/>
    <x v="0"/>
    <n v="896"/>
    <x v="56"/>
    <n v="55"/>
    <n v="0.55000000000000004"/>
    <x v="1"/>
    <x v="14"/>
    <s v="null"/>
    <x v="0"/>
  </r>
  <r>
    <x v="59"/>
    <n v="2170"/>
    <x v="1"/>
    <n v="2500"/>
    <x v="57"/>
    <n v="13"/>
    <n v="0.13"/>
    <x v="2"/>
    <x v="9"/>
    <n v="2.5"/>
    <x v="2"/>
  </r>
  <r>
    <x v="60"/>
    <n v="458"/>
    <x v="0"/>
    <n v="986"/>
    <x v="58"/>
    <n v="54"/>
    <n v="0.54"/>
    <x v="1"/>
    <x v="20"/>
    <n v="3"/>
    <x v="1"/>
  </r>
  <r>
    <x v="61"/>
    <n v="2115"/>
    <x v="1"/>
    <n v="4700"/>
    <x v="59"/>
    <n v="55"/>
    <n v="0.55000000000000004"/>
    <x v="1"/>
    <x v="13"/>
    <n v="2.1"/>
    <x v="2"/>
  </r>
  <r>
    <x v="62"/>
    <n v="445"/>
    <x v="0"/>
    <n v="873"/>
    <x v="60"/>
    <n v="49"/>
    <n v="0.49"/>
    <x v="1"/>
    <x v="21"/>
    <n v="2.8"/>
    <x v="2"/>
  </r>
  <r>
    <x v="63"/>
    <n v="325"/>
    <x v="0"/>
    <n v="680"/>
    <x v="61"/>
    <n v="52"/>
    <n v="0.52"/>
    <x v="1"/>
    <x v="5"/>
    <n v="2.7"/>
    <x v="2"/>
  </r>
  <r>
    <x v="64"/>
    <n v="1220"/>
    <x v="2"/>
    <n v="1555"/>
    <x v="62"/>
    <n v="22"/>
    <n v="0.22"/>
    <x v="0"/>
    <x v="22"/>
    <n v="2.9"/>
    <x v="2"/>
  </r>
  <r>
    <x v="65"/>
    <n v="990"/>
    <x v="0"/>
    <n v="1814"/>
    <x v="63"/>
    <n v="45"/>
    <n v="0.45"/>
    <x v="1"/>
    <x v="9"/>
    <n v="2.2000000000000002"/>
    <x v="2"/>
  </r>
  <r>
    <x v="66"/>
    <n v="1000"/>
    <x v="2"/>
    <n v="2000"/>
    <x v="64"/>
    <n v="50"/>
    <n v="0.5"/>
    <x v="1"/>
    <x v="3"/>
    <n v="2.2999999999999998"/>
    <x v="2"/>
  </r>
  <r>
    <x v="67"/>
    <n v="3750"/>
    <x v="1"/>
    <n v="6143"/>
    <x v="65"/>
    <n v="39"/>
    <n v="0.39"/>
    <x v="0"/>
    <x v="4"/>
    <n v="3"/>
    <x v="1"/>
  </r>
  <r>
    <x v="68"/>
    <n v="382"/>
    <x v="0"/>
    <n v="700"/>
    <x v="66"/>
    <n v="45"/>
    <n v="0.45"/>
    <x v="1"/>
    <x v="23"/>
    <n v="2.6"/>
    <x v="2"/>
  </r>
  <r>
    <x v="69"/>
    <n v="2300"/>
    <x v="1"/>
    <n v="3240"/>
    <x v="67"/>
    <n v="29"/>
    <n v="0.28999999999999998"/>
    <x v="0"/>
    <x v="4"/>
    <n v="3"/>
    <x v="1"/>
  </r>
  <r>
    <x v="70"/>
    <n v="345"/>
    <x v="0"/>
    <n v="602"/>
    <x v="68"/>
    <n v="43"/>
    <n v="0.43"/>
    <x v="1"/>
    <x v="9"/>
    <n v="2.2999999999999998"/>
    <x v="2"/>
  </r>
  <r>
    <x v="71"/>
    <n v="509"/>
    <x v="0"/>
    <n v="899"/>
    <x v="69"/>
    <n v="43"/>
    <n v="0.43"/>
    <x v="1"/>
    <x v="4"/>
    <n v="3"/>
    <x v="1"/>
  </r>
  <r>
    <x v="72"/>
    <n v="968"/>
    <x v="0"/>
    <n v="1814"/>
    <x v="70"/>
    <n v="47"/>
    <n v="0.47"/>
    <x v="1"/>
    <x v="9"/>
    <n v="2.2000000000000002"/>
    <x v="2"/>
  </r>
  <r>
    <x v="73"/>
    <n v="1570"/>
    <x v="2"/>
    <n v="2988"/>
    <x v="71"/>
    <n v="47"/>
    <n v="0.47"/>
    <x v="1"/>
    <x v="3"/>
    <n v="2.1"/>
    <x v="2"/>
  </r>
  <r>
    <x v="74"/>
    <n v="790"/>
    <x v="0"/>
    <n v="1485"/>
    <x v="72"/>
    <n v="47"/>
    <n v="0.47"/>
    <x v="1"/>
    <x v="14"/>
    <s v="null"/>
    <x v="0"/>
  </r>
  <r>
    <x v="75"/>
    <n v="690"/>
    <x v="0"/>
    <n v="1200"/>
    <x v="11"/>
    <n v="43"/>
    <n v="0.43"/>
    <x v="1"/>
    <x v="14"/>
    <s v="null"/>
    <x v="0"/>
  </r>
  <r>
    <x v="76"/>
    <n v="1732"/>
    <x v="2"/>
    <n v="1799"/>
    <x v="73"/>
    <n v="4"/>
    <n v="0.04"/>
    <x v="2"/>
    <x v="14"/>
    <s v="null"/>
    <x v="0"/>
  </r>
  <r>
    <x v="77"/>
    <n v="230"/>
    <x v="0"/>
    <n v="450"/>
    <x v="74"/>
    <n v="49"/>
    <n v="0.49"/>
    <x v="1"/>
    <x v="14"/>
    <s v="null"/>
    <x v="0"/>
  </r>
  <r>
    <x v="78"/>
    <n v="1189"/>
    <x v="2"/>
    <n v="2199"/>
    <x v="75"/>
    <n v="46"/>
    <n v="0.46"/>
    <x v="1"/>
    <x v="18"/>
    <n v="3"/>
    <x v="1"/>
  </r>
  <r>
    <x v="79"/>
    <n v="979"/>
    <x v="0"/>
    <n v="1920"/>
    <x v="76"/>
    <n v="49"/>
    <n v="0.49"/>
    <x v="1"/>
    <x v="18"/>
    <n v="5"/>
    <x v="0"/>
  </r>
  <r>
    <x v="80"/>
    <n v="1460"/>
    <x v="2"/>
    <n v="2290"/>
    <x v="77"/>
    <n v="36"/>
    <n v="0.36"/>
    <x v="0"/>
    <x v="14"/>
    <s v="null"/>
    <x v="0"/>
  </r>
  <r>
    <x v="81"/>
    <n v="1666"/>
    <x v="2"/>
    <n v="1699"/>
    <x v="78"/>
    <n v="2"/>
    <n v="0.02"/>
    <x v="2"/>
    <x v="14"/>
    <s v="null"/>
    <x v="0"/>
  </r>
  <r>
    <x v="82"/>
    <n v="330"/>
    <x v="0"/>
    <n v="647"/>
    <x v="79"/>
    <n v="49"/>
    <n v="0.49"/>
    <x v="1"/>
    <x v="18"/>
    <n v="4"/>
    <x v="1"/>
  </r>
  <r>
    <x v="83"/>
    <n v="176"/>
    <x v="0"/>
    <n v="345"/>
    <x v="80"/>
    <n v="49"/>
    <n v="0.49"/>
    <x v="1"/>
    <x v="14"/>
    <s v="null"/>
    <x v="0"/>
  </r>
  <r>
    <x v="84"/>
    <n v="1466"/>
    <x v="2"/>
    <n v="1699"/>
    <x v="81"/>
    <n v="14"/>
    <n v="0.14000000000000001"/>
    <x v="2"/>
    <x v="14"/>
    <s v="null"/>
    <x v="0"/>
  </r>
  <r>
    <x v="85"/>
    <n v="274"/>
    <x v="0"/>
    <n v="537"/>
    <x v="82"/>
    <n v="49"/>
    <n v="0.49"/>
    <x v="1"/>
    <x v="14"/>
    <s v="null"/>
    <x v="0"/>
  </r>
  <r>
    <x v="86"/>
    <n v="799"/>
    <x v="0"/>
    <n v="900"/>
    <x v="83"/>
    <n v="11"/>
    <n v="0.11"/>
    <x v="2"/>
    <x v="14"/>
    <s v="null"/>
    <x v="0"/>
  </r>
  <r>
    <x v="87"/>
    <n v="657"/>
    <x v="0"/>
    <n v="1288"/>
    <x v="84"/>
    <n v="49"/>
    <n v="0.49"/>
    <x v="1"/>
    <x v="14"/>
    <s v="null"/>
    <x v="0"/>
  </r>
  <r>
    <x v="88"/>
    <n v="1468"/>
    <x v="2"/>
    <n v="1699"/>
    <x v="85"/>
    <n v="14"/>
    <n v="0.14000000000000001"/>
    <x v="2"/>
    <x v="14"/>
    <s v="null"/>
    <x v="0"/>
  </r>
  <r>
    <x v="89"/>
    <n v="630"/>
    <x v="0"/>
    <n v="1100"/>
    <x v="22"/>
    <n v="43"/>
    <n v="0.43"/>
    <x v="1"/>
    <x v="14"/>
    <s v="null"/>
    <x v="0"/>
  </r>
  <r>
    <x v="90"/>
    <n v="850"/>
    <x v="0"/>
    <n v="1700"/>
    <x v="86"/>
    <n v="50"/>
    <n v="0.5"/>
    <x v="1"/>
    <x v="14"/>
    <s v="null"/>
    <x v="0"/>
  </r>
  <r>
    <x v="91"/>
    <n v="1300"/>
    <x v="2"/>
    <n v="2500"/>
    <x v="87"/>
    <n v="48"/>
    <n v="0.48"/>
    <x v="1"/>
    <x v="14"/>
    <s v="null"/>
    <x v="0"/>
  </r>
  <r>
    <x v="92"/>
    <n v="105"/>
    <x v="0"/>
    <n v="200"/>
    <x v="88"/>
    <n v="48"/>
    <n v="0.48"/>
    <x v="1"/>
    <x v="14"/>
    <s v="null"/>
    <x v="0"/>
  </r>
  <r>
    <x v="93"/>
    <n v="899"/>
    <x v="0"/>
    <n v="1699"/>
    <x v="89"/>
    <n v="47"/>
    <n v="0.47"/>
    <x v="1"/>
    <x v="14"/>
    <s v="null"/>
    <x v="0"/>
  </r>
  <r>
    <x v="94"/>
    <n v="1200"/>
    <x v="2"/>
    <n v="2400"/>
    <x v="87"/>
    <n v="50"/>
    <n v="0.5"/>
    <x v="1"/>
    <x v="14"/>
    <s v="null"/>
    <x v="0"/>
  </r>
  <r>
    <x v="95"/>
    <n v="1526"/>
    <x v="2"/>
    <n v="1660"/>
    <x v="90"/>
    <n v="8"/>
    <n v="0.08"/>
    <x v="2"/>
    <x v="14"/>
    <s v="null"/>
    <x v="0"/>
  </r>
  <r>
    <x v="96"/>
    <n v="1462"/>
    <x v="2"/>
    <n v="1499"/>
    <x v="41"/>
    <n v="2"/>
    <n v="0.02"/>
    <x v="2"/>
    <x v="14"/>
    <s v="null"/>
    <x v="0"/>
  </r>
  <r>
    <x v="97"/>
    <n v="248"/>
    <x v="0"/>
    <n v="486"/>
    <x v="39"/>
    <n v="49"/>
    <n v="0.49"/>
    <x v="1"/>
    <x v="14"/>
    <s v="null"/>
    <x v="0"/>
  </r>
  <r>
    <x v="98"/>
    <n v="3546"/>
    <x v="1"/>
    <n v="3699"/>
    <x v="91"/>
    <n v="4"/>
    <n v="0.04"/>
    <x v="2"/>
    <x v="14"/>
    <s v="null"/>
    <x v="0"/>
  </r>
  <r>
    <x v="99"/>
    <n v="525"/>
    <x v="0"/>
    <n v="1029"/>
    <x v="92"/>
    <n v="49"/>
    <n v="0.49"/>
    <x v="1"/>
    <x v="14"/>
    <s v="null"/>
    <x v="0"/>
  </r>
  <r>
    <x v="100"/>
    <n v="1080"/>
    <x v="2"/>
    <n v="1874"/>
    <x v="93"/>
    <n v="42"/>
    <n v="0.42"/>
    <x v="1"/>
    <x v="14"/>
    <s v="null"/>
    <x v="0"/>
  </r>
  <r>
    <x v="101"/>
    <n v="3640"/>
    <x v="1"/>
    <n v="4588"/>
    <x v="94"/>
    <n v="21"/>
    <n v="0.21"/>
    <x v="0"/>
    <x v="18"/>
    <n v="5"/>
    <x v="0"/>
  </r>
  <r>
    <x v="102"/>
    <n v="1420"/>
    <x v="2"/>
    <n v="2420"/>
    <x v="64"/>
    <n v="41"/>
    <n v="0.41"/>
    <x v="1"/>
    <x v="14"/>
    <s v="null"/>
    <x v="0"/>
  </r>
  <r>
    <x v="103"/>
    <n v="1875"/>
    <x v="2"/>
    <n v="1899"/>
    <x v="95"/>
    <n v="1"/>
    <n v="0.01"/>
    <x v="2"/>
    <x v="14"/>
    <s v="null"/>
    <x v="0"/>
  </r>
  <r>
    <x v="104"/>
    <n v="198"/>
    <x v="0"/>
    <n v="260"/>
    <x v="96"/>
    <n v="24"/>
    <n v="0.24"/>
    <x v="0"/>
    <x v="14"/>
    <s v="null"/>
    <x v="0"/>
  </r>
  <r>
    <x v="105"/>
    <n v="1150"/>
    <x v="2"/>
    <n v="1737"/>
    <x v="97"/>
    <n v="34"/>
    <n v="0.34"/>
    <x v="0"/>
    <x v="14"/>
    <s v="null"/>
    <x v="0"/>
  </r>
  <r>
    <x v="106"/>
    <n v="1190"/>
    <x v="2"/>
    <n v="1810"/>
    <x v="98"/>
    <n v="34"/>
    <n v="0.34"/>
    <x v="0"/>
    <x v="14"/>
    <s v="null"/>
    <x v="0"/>
  </r>
  <r>
    <x v="107"/>
    <n v="1658"/>
    <x v="2"/>
    <n v="1699"/>
    <x v="99"/>
    <n v="2"/>
    <n v="0.02"/>
    <x v="2"/>
    <x v="14"/>
    <s v="null"/>
    <x v="0"/>
  </r>
  <r>
    <x v="108"/>
    <n v="1768"/>
    <x v="2"/>
    <n v="1799"/>
    <x v="100"/>
    <n v="2"/>
    <n v="0.02"/>
    <x v="2"/>
    <x v="14"/>
    <s v="null"/>
    <x v="0"/>
  </r>
  <r>
    <x v="109"/>
    <n v="199"/>
    <x v="0"/>
    <n v="553"/>
    <x v="101"/>
    <n v="64"/>
    <n v="0.64"/>
    <x v="1"/>
    <x v="14"/>
    <s v="null"/>
    <x v="0"/>
  </r>
  <r>
    <x v="109"/>
    <n v="450"/>
    <x v="0"/>
    <n v="900"/>
    <x v="40"/>
    <n v="50"/>
    <n v="0.5"/>
    <x v="1"/>
    <x v="18"/>
    <n v="2"/>
    <x v="2"/>
  </r>
  <r>
    <x v="109"/>
    <n v="169"/>
    <x v="0"/>
    <n v="320"/>
    <x v="102"/>
    <n v="47"/>
    <n v="0.47"/>
    <x v="1"/>
    <x v="14"/>
    <s v="nul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64E97D-A665-43FA-8202-061224029A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1">
    <pivotField axis="axisRow" showAll="0" measureFilter="1">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 showAll="0"/>
    <pivotField showAll="0"/>
    <pivotField numFmtId="1" showAll="0"/>
    <pivotField numFmtId="1" showAll="0"/>
    <pivotField numFmtId="9" showAll="0"/>
    <pivotField numFmtId="9" showAll="0"/>
    <pivotField showAll="0"/>
    <pivotField dataField="1" showAll="0">
      <items count="25">
        <item h="1" x="18"/>
        <item h="1" x="0"/>
        <item h="1" x="11"/>
        <item x="4"/>
        <item h="1" x="9"/>
        <item h="1" x="3"/>
        <item h="1" x="10"/>
        <item h="1" x="20"/>
        <item h="1" x="7"/>
        <item h="1" x="13"/>
        <item h="1" x="1"/>
        <item h="1" x="5"/>
        <item h="1" x="22"/>
        <item h="1" x="23"/>
        <item h="1" x="16"/>
        <item h="1" x="2"/>
        <item h="1" x="17"/>
        <item h="1" x="19"/>
        <item h="1" x="8"/>
        <item h="1" x="12"/>
        <item h="1" x="15"/>
        <item h="1" x="6"/>
        <item h="1" x="21"/>
        <item h="1" x="14"/>
        <item t="default"/>
      </items>
    </pivotField>
    <pivotField showAll="0"/>
    <pivotField showAll="0"/>
  </pivotFields>
  <rowFields count="1">
    <field x="0"/>
  </rowFields>
  <rowItems count="8">
    <i>
      <x v="7"/>
    </i>
    <i>
      <x v="35"/>
    </i>
    <i>
      <x v="38"/>
    </i>
    <i>
      <x v="70"/>
    </i>
    <i>
      <x v="75"/>
    </i>
    <i>
      <x v="90"/>
    </i>
    <i>
      <x v="106"/>
    </i>
    <i t="grand">
      <x/>
    </i>
  </rowItems>
  <colItems count="1">
    <i/>
  </colItems>
  <dataFields count="1">
    <dataField name="Sum of Review"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502E21-6421-4927-B5D6-DC83D22749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1">
    <pivotField axis="axisRow" showAll="0" measureFilter="1">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 showAll="0"/>
    <pivotField showAll="0"/>
    <pivotField numFmtId="1" showAll="0"/>
    <pivotField dataField="1" numFmtId="1" showAll="0">
      <items count="104">
        <item h="1" x="95"/>
        <item h="1" x="100"/>
        <item h="1" x="78"/>
        <item h="1" x="41"/>
        <item h="1" x="48"/>
        <item h="1" x="50"/>
        <item h="1" x="99"/>
        <item h="1" x="20"/>
        <item h="1" x="96"/>
        <item h="1" x="73"/>
        <item h="1" x="49"/>
        <item h="1" x="88"/>
        <item h="1" x="83"/>
        <item h="1" x="90"/>
        <item h="1" x="102"/>
        <item h="1" x="91"/>
        <item h="1" x="16"/>
        <item h="1" x="80"/>
        <item h="1" x="34"/>
        <item h="1" x="29"/>
        <item h="1" x="10"/>
        <item h="1" x="74"/>
        <item h="1" x="25"/>
        <item h="1" x="85"/>
        <item h="1" x="81"/>
        <item h="1" x="39"/>
        <item h="1" x="68"/>
        <item h="1" x="82"/>
        <item h="1" x="35"/>
        <item h="1" x="5"/>
        <item h="1" x="47"/>
        <item h="1" x="46"/>
        <item h="1" x="79"/>
        <item h="1" x="66"/>
        <item h="1" x="57"/>
        <item h="1" x="62"/>
        <item h="1" x="15"/>
        <item h="1" x="101"/>
        <item h="1" x="61"/>
        <item h="1" x="13"/>
        <item h="1" x="69"/>
        <item h="1" x="52"/>
        <item h="1" x="60"/>
        <item h="1" x="40"/>
        <item h="1" x="38"/>
        <item h="1" x="22"/>
        <item h="1" x="1"/>
        <item h="1" x="12"/>
        <item h="1" x="56"/>
        <item h="1" x="23"/>
        <item h="1" x="92"/>
        <item h="1" x="11"/>
        <item h="1" x="58"/>
        <item h="1" x="51"/>
        <item h="1" x="0"/>
        <item h="1" x="97"/>
        <item h="1" x="7"/>
        <item h="1" x="43"/>
        <item h="1" x="4"/>
        <item h="1" x="98"/>
        <item h="1" x="84"/>
        <item h="1" x="26"/>
        <item h="1" x="53"/>
        <item h="1" x="44"/>
        <item h="1" x="72"/>
        <item h="1" x="18"/>
        <item h="1" x="31"/>
        <item h="1" x="6"/>
        <item h="1" x="32"/>
        <item h="1" x="2"/>
        <item h="1" x="27"/>
        <item h="1" x="45"/>
        <item h="1" x="54"/>
        <item h="1" x="93"/>
        <item h="1" x="89"/>
        <item h="1" x="14"/>
        <item h="1" x="63"/>
        <item h="1" x="77"/>
        <item h="1" x="70"/>
        <item h="1" x="86"/>
        <item h="1" x="3"/>
        <item h="1" x="67"/>
        <item h="1" x="76"/>
        <item h="1" x="94"/>
        <item h="1" x="19"/>
        <item h="1" x="64"/>
        <item h="1" x="42"/>
        <item h="1" x="75"/>
        <item h="1" x="55"/>
        <item h="1" x="33"/>
        <item h="1" x="87"/>
        <item h="1" x="9"/>
        <item x="21"/>
        <item x="36"/>
        <item x="71"/>
        <item x="8"/>
        <item x="30"/>
        <item x="37"/>
        <item x="28"/>
        <item x="17"/>
        <item x="65"/>
        <item x="24"/>
        <item x="59"/>
        <item t="default"/>
      </items>
    </pivotField>
    <pivotField numFmtId="9" showAll="0"/>
    <pivotField numFmtId="9" showAll="0"/>
    <pivotField showAll="0"/>
    <pivotField showAll="0"/>
    <pivotField showAll="0"/>
    <pivotField showAll="0"/>
  </pivotFields>
  <rowFields count="1">
    <field x="0"/>
  </rowFields>
  <rowItems count="11">
    <i>
      <x/>
    </i>
    <i>
      <x v="5"/>
    </i>
    <i>
      <x v="15"/>
    </i>
    <i>
      <x v="38"/>
    </i>
    <i>
      <x v="67"/>
    </i>
    <i>
      <x v="68"/>
    </i>
    <i>
      <x v="70"/>
    </i>
    <i>
      <x v="71"/>
    </i>
    <i>
      <x v="72"/>
    </i>
    <i>
      <x v="82"/>
    </i>
    <i t="grand">
      <x/>
    </i>
  </rowItems>
  <colItems count="1">
    <i/>
  </colItems>
  <dataFields count="1">
    <dataField name="Sum of Discount Amount" fld="4" baseField="0" baseItem="0" numFmtId="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D30E9D-73FF-4F20-8B6B-13755E41AA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1">
    <pivotField axis="axisRow" showAll="0" measureFilter="1">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 showAll="0"/>
    <pivotField showAll="0"/>
    <pivotField numFmtId="1" showAll="0"/>
    <pivotField numFmtId="1" showAll="0"/>
    <pivotField numFmtId="9" showAll="0"/>
    <pivotField numFmtId="9" showAll="0"/>
    <pivotField showAll="0"/>
    <pivotField showAll="0"/>
    <pivotField dataField="1" showAll="0"/>
    <pivotField showAll="0"/>
  </pivotFields>
  <rowFields count="1">
    <field x="0"/>
  </rowFields>
  <rowItems count="8">
    <i>
      <x v="9"/>
    </i>
    <i>
      <x v="29"/>
    </i>
    <i>
      <x v="40"/>
    </i>
    <i>
      <x v="52"/>
    </i>
    <i>
      <x v="57"/>
    </i>
    <i>
      <x v="68"/>
    </i>
    <i>
      <x v="87"/>
    </i>
    <i t="grand">
      <x/>
    </i>
  </rowItems>
  <colItems count="1">
    <i/>
  </colItems>
  <dataFields count="1">
    <dataField name="Average of Ratingd" fld="9" subtotal="average" baseField="0" baseItem="9" numFmtId="164"/>
  </dataFields>
  <formats count="2">
    <format dxfId="6">
      <pivotArea collapsedLevelsAreSubtotals="1" fieldPosition="0">
        <references count="1">
          <reference field="0" count="1">
            <x v="9"/>
          </reference>
        </references>
      </pivotArea>
    </format>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38CD19-DBDE-4096-BE22-C7CBCD2B3F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1">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numFmtId="1" showAll="0"/>
    <pivotField showAll="0"/>
    <pivotField numFmtId="1" showAll="0"/>
    <pivotField numFmtId="1" showAll="0"/>
    <pivotField numFmtId="9" showAll="0"/>
    <pivotField numFmtId="9" showAll="0"/>
    <pivotField showAll="0"/>
    <pivotField showAll="0"/>
    <pivotField dataField="1" showAll="0"/>
    <pivotField showAll="0"/>
  </pivotFields>
  <rowFields count="1">
    <field x="0"/>
  </rowFields>
  <rowItems count="6">
    <i>
      <x v="58"/>
    </i>
    <i>
      <x v="17"/>
    </i>
    <i>
      <x v="5"/>
    </i>
    <i>
      <x v="15"/>
    </i>
    <i>
      <x v="109"/>
    </i>
    <i t="grand">
      <x/>
    </i>
  </rowItems>
  <colItems count="1">
    <i/>
  </colItems>
  <dataFields count="1">
    <dataField name="Average of Ratingd" fld="9" subtotal="average" baseField="0" baseItem="6"/>
  </dataField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19DB98-8727-4DE9-B892-E0348450EE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7" firstHeaderRow="0" firstDataRow="1" firstDataCol="1"/>
  <pivotFields count="11">
    <pivotField showAll="0"/>
    <pivotField numFmtId="1" showAll="0"/>
    <pivotField showAll="0"/>
    <pivotField numFmtId="1" showAll="0"/>
    <pivotField numFmtId="1" showAll="0"/>
    <pivotField numFmtId="9" showAll="0"/>
    <pivotField numFmtId="9" showAll="0"/>
    <pivotField axis="axisRow" showAll="0">
      <items count="4">
        <item x="1"/>
        <item x="2"/>
        <item x="0"/>
        <item t="default"/>
      </items>
    </pivotField>
    <pivotField dataField="1" showAll="0"/>
    <pivotField dataField="1" showAll="0"/>
    <pivotField showAll="0"/>
  </pivotFields>
  <rowFields count="1">
    <field x="7"/>
  </rowFields>
  <rowItems count="4">
    <i>
      <x/>
    </i>
    <i>
      <x v="1"/>
    </i>
    <i>
      <x v="2"/>
    </i>
    <i t="grand">
      <x/>
    </i>
  </rowItems>
  <colFields count="1">
    <field x="-2"/>
  </colFields>
  <colItems count="2">
    <i>
      <x/>
    </i>
    <i i="1">
      <x v="1"/>
    </i>
  </colItems>
  <dataFields count="2">
    <dataField name="Average of Ratingd" fld="9" subtotal="average" baseField="6" baseItem="0"/>
    <dataField name="Count of Review" fld="8"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2F33EB-8811-4F74-8891-D99E5809C62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5" firstHeaderRow="1" firstDataRow="1" firstDataCol="1"/>
  <pivotFields count="11">
    <pivotField dataField="1" showAll="0"/>
    <pivotField numFmtId="1" showAll="0"/>
    <pivotField showAll="0"/>
    <pivotField numFmtId="1" showAll="0"/>
    <pivotField numFmtId="1" showAll="0"/>
    <pivotField numFmtId="9" showAll="0"/>
    <pivotField numFmtId="9" showAll="0"/>
    <pivotField showAll="0">
      <items count="4">
        <item x="1"/>
        <item x="2"/>
        <item x="0"/>
        <item t="default"/>
      </items>
    </pivotField>
    <pivotField showAll="0"/>
    <pivotField showAll="0"/>
    <pivotField axis="axisRow" showAll="0">
      <items count="4">
        <item x="1"/>
        <item x="0"/>
        <item x="2"/>
        <item t="default"/>
      </items>
    </pivotField>
  </pivotFields>
  <rowFields count="1">
    <field x="10"/>
  </rowFields>
  <rowItems count="4">
    <i>
      <x/>
    </i>
    <i>
      <x v="1"/>
    </i>
    <i>
      <x v="2"/>
    </i>
    <i t="grand">
      <x/>
    </i>
  </rowItems>
  <colItems count="1">
    <i/>
  </colItems>
  <dataFields count="1">
    <dataField name="Count of Product"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C16F62-42DE-4AF1-8704-2298B71A831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G13" firstHeaderRow="1" firstDataRow="1" firstDataCol="0"/>
  <pivotFields count="11">
    <pivotField dataField="1" showAll="0"/>
    <pivotField numFmtId="1" showAll="0"/>
    <pivotField showAll="0"/>
    <pivotField numFmtId="1" showAll="0"/>
    <pivotField numFmtId="1" showAll="0"/>
    <pivotField numFmtId="9" showAll="0"/>
    <pivotField numFmtId="9" showAll="0"/>
    <pivotField showAll="0"/>
    <pivotField showAll="0"/>
    <pivotField showAll="0"/>
    <pivotField showAll="0"/>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92B9CC-C844-4AA3-9208-618EECC74B7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C19" firstHeaderRow="0" firstDataRow="1" firstDataCol="1"/>
  <pivotFields count="11">
    <pivotField showAll="0"/>
    <pivotField numFmtId="1" showAll="0"/>
    <pivotField showAll="0"/>
    <pivotField numFmtId="1" showAll="0"/>
    <pivotField numFmtId="1" showAll="0"/>
    <pivotField numFmtId="9" showAll="0"/>
    <pivotField dataField="1" numFmtId="9" showAll="0"/>
    <pivotField axis="axisRow" showAll="0">
      <items count="4">
        <item x="1"/>
        <item x="2"/>
        <item x="0"/>
        <item t="default"/>
      </items>
    </pivotField>
    <pivotField showAll="0"/>
    <pivotField dataField="1" showAll="0"/>
    <pivotField showAll="0">
      <items count="4">
        <item x="1"/>
        <item h="1" x="0"/>
        <item h="1" x="2"/>
        <item t="default"/>
      </items>
    </pivotField>
  </pivotFields>
  <rowFields count="1">
    <field x="7"/>
  </rowFields>
  <rowItems count="4">
    <i>
      <x/>
    </i>
    <i>
      <x v="1"/>
    </i>
    <i>
      <x v="2"/>
    </i>
    <i t="grand">
      <x/>
    </i>
  </rowItems>
  <colFields count="1">
    <field x="-2"/>
  </colFields>
  <colItems count="2">
    <i>
      <x/>
    </i>
    <i i="1">
      <x v="1"/>
    </i>
  </colItems>
  <dataFields count="2">
    <dataField name="Average of Ratingd" fld="9" subtotal="average" baseField="6" baseItem="0"/>
    <dataField name="Average of Clean Discount" fld="6" subtotal="average" baseField="6"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433BC4-388E-4F18-A986-283087E8958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D10" firstHeaderRow="1" firstDataRow="1" firstDataCol="0"/>
  <pivotFields count="11">
    <pivotField showAll="0"/>
    <pivotField numFmtId="1" showAll="0"/>
    <pivotField showAll="0"/>
    <pivotField numFmtId="1" showAll="0"/>
    <pivotField numFmtId="1" showAll="0"/>
    <pivotField numFmtId="9" showAll="0"/>
    <pivotField numFmtId="9" showAll="0"/>
    <pivotField showAll="0"/>
    <pivotField showAll="0"/>
    <pivotField dataField="1" showAll="0"/>
    <pivotField showAll="0"/>
  </pivotFields>
  <rowItems count="1">
    <i/>
  </rowItems>
  <colItems count="1">
    <i/>
  </colItems>
  <dataFields count="1">
    <dataField name="Average of Ratingd" fld="9"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C574D1-89DC-4767-A7CA-A15006503A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11">
    <pivotField showAll="0"/>
    <pivotField numFmtId="1" showAll="0"/>
    <pivotField showAll="0"/>
    <pivotField numFmtId="1" showAll="0"/>
    <pivotField numFmtId="1" showAll="0"/>
    <pivotField numFmtId="9" showAll="0"/>
    <pivotField dataField="1" numFmtId="9" showAll="0"/>
    <pivotField showAll="0"/>
    <pivotField showAll="0"/>
    <pivotField showAll="0"/>
    <pivotField showAll="0"/>
  </pivotFields>
  <rowItems count="1">
    <i/>
  </rowItems>
  <colItems count="1">
    <i/>
  </colItems>
  <dataFields count="1">
    <dataField name="Average of Clean Discount" fld="6"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B6C445-A094-4308-A8F0-2B1B44640A75}"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7:O21" firstHeaderRow="1" firstDataRow="1" firstDataCol="1"/>
  <pivotFields count="11">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 showAll="0"/>
    <pivotField axis="axisRow" showAll="0">
      <items count="4">
        <item x="1"/>
        <item x="0"/>
        <item x="2"/>
        <item t="default"/>
      </items>
    </pivotField>
    <pivotField numFmtId="1" showAll="0"/>
    <pivotField numFmtId="1" showAll="0"/>
    <pivotField numFmtId="9" showAll="0"/>
    <pivotField numFmtId="9" showAll="0"/>
    <pivotField showAll="0"/>
    <pivotField showAll="0"/>
    <pivotField showAll="0"/>
    <pivotField showAll="0"/>
  </pivotFields>
  <rowFields count="1">
    <field x="2"/>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792725-5765-4309-A70E-D95111D78A96}"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2:V6" firstHeaderRow="1" firstDataRow="1" firstDataCol="1"/>
  <pivotFields count="11">
    <pivotField dataField="1" showAll="0"/>
    <pivotField numFmtId="1" showAll="0"/>
    <pivotField showAll="0"/>
    <pivotField numFmtId="1" showAll="0"/>
    <pivotField numFmtId="1" showAll="0"/>
    <pivotField numFmtId="9" showAll="0"/>
    <pivotField numFmtId="9" showAll="0"/>
    <pivotField axis="axisRow" showAll="0">
      <items count="4">
        <item x="1"/>
        <item x="2"/>
        <item x="0"/>
        <item t="default"/>
      </items>
    </pivotField>
    <pivotField showAll="0"/>
    <pivotField showAll="0"/>
    <pivotField showAll="0"/>
  </pivotFields>
  <rowFields count="1">
    <field x="7"/>
  </rowFields>
  <rowItems count="4">
    <i>
      <x/>
    </i>
    <i>
      <x v="1"/>
    </i>
    <i>
      <x v="2"/>
    </i>
    <i t="grand">
      <x/>
    </i>
  </rowItems>
  <colItems count="1">
    <i/>
  </colItems>
  <dataFields count="1">
    <dataField name="Count of Product"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D562F8-6C36-475E-A1F0-225D5824C67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1">
    <pivotField showAll="0"/>
    <pivotField numFmtId="1" showAll="0"/>
    <pivotField showAll="0"/>
    <pivotField dataField="1" numFmtId="1" showAll="0"/>
    <pivotField numFmtId="1" showAll="0"/>
    <pivotField numFmtId="9" showAll="0"/>
    <pivotField numFmtId="9" showAll="0"/>
    <pivotField showAll="0"/>
    <pivotField showAll="0"/>
    <pivotField showAll="0"/>
    <pivotField showAll="0"/>
  </pivotFields>
  <rowItems count="1">
    <i/>
  </rowItems>
  <colItems count="1">
    <i/>
  </colItems>
  <dataFields count="1">
    <dataField name="Average of Old price" fld="3"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C3F8EE4-981D-4FF0-BE8D-4F6C35C9191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8:G19" firstHeaderRow="1" firstDataRow="1" firstDataCol="0"/>
  <pivotFields count="11">
    <pivotField showAll="0"/>
    <pivotField numFmtId="1" showAll="0"/>
    <pivotField showAll="0"/>
    <pivotField numFmtId="1" showAll="0"/>
    <pivotField numFmtId="1" showAll="0"/>
    <pivotField numFmtId="9" showAll="0"/>
    <pivotField numFmtId="9" showAll="0"/>
    <pivotField showAll="0"/>
    <pivotField dataField="1" showAll="0"/>
    <pivotField showAll="0"/>
    <pivotField showAll="0"/>
  </pivotFields>
  <rowItems count="1">
    <i/>
  </rowItems>
  <colItems count="1">
    <i/>
  </colItems>
  <dataFields count="1">
    <dataField name="Count of Review"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BB6D66-D764-4E1B-8495-14CA9975A9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1">
    <pivotField showAll="0"/>
    <pivotField dataField="1" numFmtId="1" showAll="0"/>
    <pivotField showAll="0"/>
    <pivotField numFmtId="1" showAll="0"/>
    <pivotField numFmtId="1" showAll="0"/>
    <pivotField numFmtId="9" showAll="0"/>
    <pivotField numFmtId="9" showAll="0"/>
    <pivotField showAll="0"/>
    <pivotField showAll="0"/>
    <pivotField showAll="0"/>
    <pivotField showAll="0"/>
  </pivotFields>
  <rowItems count="1">
    <i/>
  </rowItems>
  <colItems count="1">
    <i/>
  </colItems>
  <dataFields count="1">
    <dataField name="Average of Current price" fld="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0B527038-E760-43A3-A92D-FEFD3A289549}" sourceName="Review">
  <pivotTables>
    <pivotTable tabId="10" name="PivotTable2"/>
  </pivotTables>
  <data>
    <tabular pivotCacheId="874554266">
      <items count="24">
        <i x="18"/>
        <i x="0"/>
        <i x="11"/>
        <i x="4" s="1"/>
        <i x="9"/>
        <i x="3"/>
        <i x="10"/>
        <i x="20"/>
        <i x="7"/>
        <i x="13"/>
        <i x="1"/>
        <i x="5"/>
        <i x="22"/>
        <i x="23"/>
        <i x="16"/>
        <i x="2"/>
        <i x="17"/>
        <i x="19"/>
        <i x="8"/>
        <i x="12"/>
        <i x="15"/>
        <i x="6"/>
        <i x="21"/>
        <i x="1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mount" xr10:uid="{C3717D73-3BDF-4B10-974A-02AC9890F5AE}" sourceName="Discount Amount">
  <pivotTables>
    <pivotTable tabId="9" name="PivotTable1"/>
  </pivotTables>
  <data>
    <tabular pivotCacheId="874554266" sortOrder="descending">
      <items count="103">
        <i x="59" s="1"/>
        <i x="24" s="1"/>
        <i x="65" s="1"/>
        <i x="17" s="1"/>
        <i x="28" s="1"/>
        <i x="37" s="1"/>
        <i x="30" s="1"/>
        <i x="8" s="1"/>
        <i x="71" s="1"/>
        <i x="36" s="1"/>
        <i x="21" s="1"/>
        <i x="9"/>
        <i x="87"/>
        <i x="33"/>
        <i x="55"/>
        <i x="75"/>
        <i x="42"/>
        <i x="64"/>
        <i x="19"/>
        <i x="94"/>
        <i x="76"/>
        <i x="67"/>
        <i x="3"/>
        <i x="86"/>
        <i x="70"/>
        <i x="77"/>
        <i x="63"/>
        <i x="14"/>
        <i x="89"/>
        <i x="93"/>
        <i x="54"/>
        <i x="45"/>
        <i x="27"/>
        <i x="2"/>
        <i x="32"/>
        <i x="6"/>
        <i x="31"/>
        <i x="18"/>
        <i x="72"/>
        <i x="44"/>
        <i x="53"/>
        <i x="26"/>
        <i x="84"/>
        <i x="98"/>
        <i x="4"/>
        <i x="43"/>
        <i x="7"/>
        <i x="97"/>
        <i x="0"/>
        <i x="51"/>
        <i x="58"/>
        <i x="11"/>
        <i x="92"/>
        <i x="23"/>
        <i x="56"/>
        <i x="12"/>
        <i x="1"/>
        <i x="22"/>
        <i x="38"/>
        <i x="40"/>
        <i x="60"/>
        <i x="52"/>
        <i x="69"/>
        <i x="13"/>
        <i x="61"/>
        <i x="101"/>
        <i x="15"/>
        <i x="62"/>
        <i x="57"/>
        <i x="66"/>
        <i x="79"/>
        <i x="46"/>
        <i x="47"/>
        <i x="5"/>
        <i x="35"/>
        <i x="82"/>
        <i x="68"/>
        <i x="39"/>
        <i x="81"/>
        <i x="85"/>
        <i x="25"/>
        <i x="74"/>
        <i x="10"/>
        <i x="29"/>
        <i x="34"/>
        <i x="80"/>
        <i x="16"/>
        <i x="91"/>
        <i x="102"/>
        <i x="90"/>
        <i x="83"/>
        <i x="88"/>
        <i x="49"/>
        <i x="73"/>
        <i x="96"/>
        <i x="20"/>
        <i x="99"/>
        <i x="50"/>
        <i x="48"/>
        <i x="41"/>
        <i x="78"/>
        <i x="100"/>
        <i x="9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C65FA260-E1C1-42A8-8296-C31D6100FE44}" sourceName="Discount Category">
  <pivotTables>
    <pivotTable tabId="3" name="PivotTable9"/>
  </pivotTables>
  <data>
    <tabular pivotCacheId="874554266">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C266F00A-22E4-4C2A-B39C-4CA6682587D4}" sourceName="Rating Category">
  <pivotTables>
    <pivotTable tabId="3" name="PivotTable8"/>
  </pivotTables>
  <data>
    <tabular pivotCacheId="874554266">
      <items count="3">
        <i x="1" s="1"/>
        <i x="0"/>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9D6F8C04-ACA3-44E1-98ED-8A95DB373E76}" sourceName="Price Range">
  <pivotTables>
    <pivotTable tabId="3" name="PivotTable26"/>
  </pivotTables>
  <data>
    <tabular pivotCacheId="87455426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xr10:uid="{182417B5-C459-4374-964A-19FD1368E863}" cache="Slicer_Review" caption="Review" startItem="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Amount" xr10:uid="{EDF885F3-0B7D-43E3-A2B5-4B0F2F41B9D5}" cache="Slicer_Discount_Amount" caption="Discount Amou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8443C102-692C-4BFB-AFEC-774810B6E296}" cache="Slicer_Discount_Category" caption="Discount Category" rowHeight="241300"/>
  <slicer name="Rating Category" xr10:uid="{854B3DB1-ADA0-49D5-9550-ED299A5A2313}" cache="Slicer_Rating_Category" caption="Rating Category" rowHeight="241300"/>
  <slicer name="Price Range" xr10:uid="{B1465CB8-851A-445D-9B89-A0D86BDEDF9A}" cache="Slicer_Price_Range" caption="Price Rang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39630E97-2B7F-4B38-B5A0-E675FE417F0F}" cache="Slicer_Discount_Category" caption="Discount Category" rowHeight="241300"/>
  <slicer name="Rating Category 1" xr10:uid="{C0FED890-818A-4C8D-9E1B-F4AA5F5AC977}" cache="Slicer_Rating_Category" caption="Rating Category" rowHeight="241300"/>
  <slicer name="Price Range 1" xr10:uid="{BD431A44-9DA4-409E-9887-594A32A50BD7}" cache="Slicer_Price_Range" caption="Price Rang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microsoft.com/office/2007/relationships/slicer" Target="../slicers/slicer3.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drawing" Target="../drawings/drawing6.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F0E80-56E3-4D1F-90E4-BCF571A62966}">
  <dimension ref="A1:K113"/>
  <sheetViews>
    <sheetView tabSelected="1" workbookViewId="0">
      <selection activeCell="I2" sqref="I2"/>
    </sheetView>
  </sheetViews>
  <sheetFormatPr defaultRowHeight="14.5" x14ac:dyDescent="0.35"/>
  <cols>
    <col min="1" max="1" width="89.1796875" bestFit="1" customWidth="1"/>
    <col min="2" max="2" width="18.36328125" style="4" bestFit="1" customWidth="1"/>
    <col min="3" max="3" width="18.36328125" style="4" customWidth="1"/>
    <col min="4" max="4" width="18.36328125" style="4" bestFit="1" customWidth="1"/>
    <col min="5" max="5" width="19.81640625" style="4" customWidth="1"/>
    <col min="6" max="6" width="8.7265625" style="8"/>
    <col min="7" max="7" width="13.36328125" style="8" bestFit="1" customWidth="1"/>
    <col min="8" max="8" width="16.1796875" style="8" bestFit="1" customWidth="1"/>
    <col min="9" max="9" width="8.7265625" style="4"/>
    <col min="10" max="10" width="10.26953125" style="6" bestFit="1" customWidth="1"/>
    <col min="11" max="11" width="14.08984375" bestFit="1" customWidth="1"/>
  </cols>
  <sheetData>
    <row r="1" spans="1:11" s="2" customFormat="1" x14ac:dyDescent="0.35">
      <c r="A1" s="2" t="s">
        <v>0</v>
      </c>
      <c r="B1" s="3" t="s">
        <v>1</v>
      </c>
      <c r="C1" s="3" t="s">
        <v>137</v>
      </c>
      <c r="D1" s="3" t="s">
        <v>114</v>
      </c>
      <c r="E1" s="3" t="s">
        <v>117</v>
      </c>
      <c r="F1" s="7" t="s">
        <v>2</v>
      </c>
      <c r="G1" s="7" t="s">
        <v>116</v>
      </c>
      <c r="H1" s="7" t="s">
        <v>119</v>
      </c>
      <c r="I1" s="3" t="s">
        <v>3</v>
      </c>
      <c r="J1" s="5" t="s">
        <v>4</v>
      </c>
      <c r="K1" s="2" t="s">
        <v>118</v>
      </c>
    </row>
    <row r="2" spans="1:11" x14ac:dyDescent="0.35">
      <c r="A2" t="s">
        <v>5</v>
      </c>
      <c r="B2" s="4">
        <v>950</v>
      </c>
      <c r="C2" s="4" t="str">
        <f>IF(B2&lt;1000,"Low Price",IF(B2&lt;=2000,"Medium Price","High Price"))</f>
        <v>Low Price</v>
      </c>
      <c r="D2" s="4">
        <v>1525</v>
      </c>
      <c r="E2" s="4">
        <f>D2-B2</f>
        <v>575</v>
      </c>
      <c r="F2" s="8">
        <v>38</v>
      </c>
      <c r="G2" s="8">
        <f>F2/100</f>
        <v>0.38</v>
      </c>
      <c r="H2" s="8" t="str">
        <f>IF(G2&lt;20%,"Low",IF(G2&lt;=40%,"Medium","High"))</f>
        <v>Medium</v>
      </c>
      <c r="I2" s="4">
        <v>2</v>
      </c>
      <c r="J2" s="6">
        <v>4.5</v>
      </c>
      <c r="K2" t="str">
        <f>IF(J2&lt;3,"Poor",IF(J2&lt;4.5,"Average","Excellent"))</f>
        <v>Excellent</v>
      </c>
    </row>
    <row r="3" spans="1:11" x14ac:dyDescent="0.35">
      <c r="A3" t="s">
        <v>6</v>
      </c>
      <c r="B3" s="4">
        <v>527</v>
      </c>
      <c r="C3" s="4" t="str">
        <f t="shared" ref="C3:C66" si="0">IF(B3&lt;1000,"Low Price",IF(B3&lt;=2000,"Medium Price","High Price"))</f>
        <v>Low Price</v>
      </c>
      <c r="D3" s="4">
        <v>999</v>
      </c>
      <c r="E3" s="4">
        <f t="shared" ref="E3:E66" si="1">D3-B3</f>
        <v>472</v>
      </c>
      <c r="F3" s="8">
        <v>47</v>
      </c>
      <c r="G3" s="8">
        <f t="shared" ref="G3:G66" si="2">F3/100</f>
        <v>0.47</v>
      </c>
      <c r="H3" s="8" t="str">
        <f t="shared" ref="H3:H66" si="3">IF(G3&lt;20%,"Low",IF(G3&lt;=40%,"Medium","High"))</f>
        <v>High</v>
      </c>
      <c r="I3" s="4">
        <v>14</v>
      </c>
      <c r="J3" s="6">
        <v>4.0999999999999996</v>
      </c>
      <c r="K3" t="str">
        <f t="shared" ref="K3:K66" si="4">IF(J3&lt;3,"Poor",IF(J3&lt;4.5,"Average","Excellent"))</f>
        <v>Average</v>
      </c>
    </row>
    <row r="4" spans="1:11" x14ac:dyDescent="0.35">
      <c r="A4" t="s">
        <v>7</v>
      </c>
      <c r="B4" s="4">
        <v>2199</v>
      </c>
      <c r="C4" s="4" t="str">
        <f t="shared" si="0"/>
        <v>High Price</v>
      </c>
      <c r="D4" s="4">
        <v>2923</v>
      </c>
      <c r="E4" s="4">
        <f t="shared" si="1"/>
        <v>724</v>
      </c>
      <c r="F4" s="8">
        <v>25</v>
      </c>
      <c r="G4" s="8">
        <f t="shared" si="2"/>
        <v>0.25</v>
      </c>
      <c r="H4" s="8" t="str">
        <f t="shared" si="3"/>
        <v>Medium</v>
      </c>
      <c r="I4" s="4">
        <v>24</v>
      </c>
      <c r="J4" s="6">
        <v>4.5999999999999996</v>
      </c>
      <c r="K4" t="str">
        <f t="shared" si="4"/>
        <v>Excellent</v>
      </c>
    </row>
    <row r="5" spans="1:11" x14ac:dyDescent="0.35">
      <c r="A5" t="s">
        <v>8</v>
      </c>
      <c r="B5" s="4">
        <v>1580</v>
      </c>
      <c r="C5" s="4" t="str">
        <f t="shared" si="0"/>
        <v>Medium Price</v>
      </c>
      <c r="D5" s="4">
        <v>2499</v>
      </c>
      <c r="E5" s="4">
        <f t="shared" si="1"/>
        <v>919</v>
      </c>
      <c r="F5" s="8">
        <v>37</v>
      </c>
      <c r="G5" s="8">
        <f t="shared" si="2"/>
        <v>0.37</v>
      </c>
      <c r="H5" s="8" t="str">
        <f t="shared" si="3"/>
        <v>Medium</v>
      </c>
      <c r="I5" s="4">
        <v>7</v>
      </c>
      <c r="J5" s="6">
        <v>4.7</v>
      </c>
      <c r="K5" t="str">
        <f t="shared" si="4"/>
        <v>Excellent</v>
      </c>
    </row>
    <row r="6" spans="1:11" x14ac:dyDescent="0.35">
      <c r="A6" t="s">
        <v>9</v>
      </c>
      <c r="B6" s="4">
        <v>1740</v>
      </c>
      <c r="C6" s="4" t="str">
        <f t="shared" si="0"/>
        <v>Medium Price</v>
      </c>
      <c r="D6" s="4">
        <v>2356</v>
      </c>
      <c r="E6" s="4">
        <f t="shared" si="1"/>
        <v>616</v>
      </c>
      <c r="F6" s="8">
        <v>26</v>
      </c>
      <c r="G6" s="8">
        <f t="shared" si="2"/>
        <v>0.26</v>
      </c>
      <c r="H6" s="8" t="str">
        <f t="shared" si="3"/>
        <v>Medium</v>
      </c>
      <c r="I6" s="4">
        <v>5</v>
      </c>
      <c r="J6" s="6">
        <v>4.8</v>
      </c>
      <c r="K6" t="str">
        <f t="shared" si="4"/>
        <v>Excellent</v>
      </c>
    </row>
    <row r="7" spans="1:11" x14ac:dyDescent="0.35">
      <c r="A7" t="s">
        <v>10</v>
      </c>
      <c r="B7" s="4">
        <v>2999</v>
      </c>
      <c r="C7" s="4" t="str">
        <f t="shared" si="0"/>
        <v>High Price</v>
      </c>
      <c r="D7" s="4">
        <v>3290</v>
      </c>
      <c r="E7" s="4">
        <f t="shared" si="1"/>
        <v>291</v>
      </c>
      <c r="F7" s="8">
        <v>9</v>
      </c>
      <c r="G7" s="8">
        <f t="shared" si="2"/>
        <v>0.09</v>
      </c>
      <c r="H7" s="8" t="str">
        <f t="shared" si="3"/>
        <v>Low</v>
      </c>
      <c r="I7" s="4">
        <v>15</v>
      </c>
      <c r="J7" s="6">
        <v>4</v>
      </c>
      <c r="K7" t="str">
        <f t="shared" si="4"/>
        <v>Average</v>
      </c>
    </row>
    <row r="8" spans="1:11" x14ac:dyDescent="0.35">
      <c r="A8" t="s">
        <v>11</v>
      </c>
      <c r="B8" s="4">
        <v>2319</v>
      </c>
      <c r="C8" s="4" t="str">
        <f t="shared" si="0"/>
        <v>High Price</v>
      </c>
      <c r="D8" s="4">
        <v>3032</v>
      </c>
      <c r="E8" s="4">
        <f t="shared" si="1"/>
        <v>713</v>
      </c>
      <c r="F8" s="8">
        <v>24</v>
      </c>
      <c r="G8" s="8">
        <f t="shared" si="2"/>
        <v>0.24</v>
      </c>
      <c r="H8" s="8" t="str">
        <f t="shared" si="3"/>
        <v>Medium</v>
      </c>
      <c r="I8" s="4">
        <v>55</v>
      </c>
      <c r="J8" s="6">
        <v>4.5999999999999996</v>
      </c>
      <c r="K8" t="str">
        <f t="shared" si="4"/>
        <v>Excellent</v>
      </c>
    </row>
    <row r="9" spans="1:11" x14ac:dyDescent="0.35">
      <c r="A9" t="s">
        <v>12</v>
      </c>
      <c r="B9" s="4">
        <v>988</v>
      </c>
      <c r="C9" s="4" t="str">
        <f t="shared" si="0"/>
        <v>Low Price</v>
      </c>
      <c r="D9" s="4">
        <v>1580</v>
      </c>
      <c r="E9" s="4">
        <f t="shared" si="1"/>
        <v>592</v>
      </c>
      <c r="F9" s="8">
        <v>37</v>
      </c>
      <c r="G9" s="8">
        <f t="shared" si="2"/>
        <v>0.37</v>
      </c>
      <c r="H9" s="8" t="str">
        <f t="shared" si="3"/>
        <v>Medium</v>
      </c>
      <c r="I9" s="4">
        <v>2</v>
      </c>
      <c r="J9" s="6">
        <v>4</v>
      </c>
      <c r="K9" t="str">
        <f t="shared" si="4"/>
        <v>Average</v>
      </c>
    </row>
    <row r="10" spans="1:11" x14ac:dyDescent="0.35">
      <c r="A10" t="s">
        <v>13</v>
      </c>
      <c r="B10" s="4">
        <v>1274</v>
      </c>
      <c r="C10" s="4" t="str">
        <f t="shared" si="0"/>
        <v>Medium Price</v>
      </c>
      <c r="D10" s="4">
        <v>2800</v>
      </c>
      <c r="E10" s="4">
        <f t="shared" si="1"/>
        <v>1526</v>
      </c>
      <c r="F10" s="8">
        <v>55</v>
      </c>
      <c r="G10" s="8">
        <f t="shared" si="2"/>
        <v>0.55000000000000004</v>
      </c>
      <c r="H10" s="8" t="str">
        <f t="shared" si="3"/>
        <v>High</v>
      </c>
      <c r="I10" s="4">
        <v>5</v>
      </c>
      <c r="J10" s="6">
        <v>4.8</v>
      </c>
      <c r="K10" t="str">
        <f t="shared" si="4"/>
        <v>Excellent</v>
      </c>
    </row>
    <row r="11" spans="1:11" x14ac:dyDescent="0.35">
      <c r="A11" t="s">
        <v>14</v>
      </c>
      <c r="B11" s="4">
        <v>1600</v>
      </c>
      <c r="C11" s="4" t="str">
        <f t="shared" si="0"/>
        <v>Medium Price</v>
      </c>
      <c r="D11" s="4">
        <v>2929</v>
      </c>
      <c r="E11" s="4">
        <f t="shared" si="1"/>
        <v>1329</v>
      </c>
      <c r="F11" s="8">
        <v>45</v>
      </c>
      <c r="G11" s="8">
        <f t="shared" si="2"/>
        <v>0.45</v>
      </c>
      <c r="H11" s="8" t="str">
        <f t="shared" si="3"/>
        <v>High</v>
      </c>
      <c r="I11" s="4">
        <v>5</v>
      </c>
      <c r="J11" s="6">
        <v>3.8</v>
      </c>
      <c r="K11" t="str">
        <f t="shared" si="4"/>
        <v>Average</v>
      </c>
    </row>
    <row r="12" spans="1:11" x14ac:dyDescent="0.35">
      <c r="A12" t="s">
        <v>15</v>
      </c>
      <c r="B12" s="4">
        <v>799</v>
      </c>
      <c r="C12" s="4" t="str">
        <f t="shared" si="0"/>
        <v>Low Price</v>
      </c>
      <c r="D12" s="4">
        <v>999</v>
      </c>
      <c r="E12" s="4">
        <f t="shared" si="1"/>
        <v>200</v>
      </c>
      <c r="F12" s="8">
        <v>20</v>
      </c>
      <c r="G12" s="8">
        <f t="shared" si="2"/>
        <v>0.2</v>
      </c>
      <c r="H12" s="8" t="str">
        <f t="shared" si="3"/>
        <v>Medium</v>
      </c>
      <c r="I12" s="4">
        <v>12</v>
      </c>
      <c r="J12" s="6">
        <v>4.0999999999999996</v>
      </c>
      <c r="K12" t="str">
        <f t="shared" si="4"/>
        <v>Average</v>
      </c>
    </row>
    <row r="13" spans="1:11" x14ac:dyDescent="0.35">
      <c r="A13" t="s">
        <v>16</v>
      </c>
      <c r="B13" s="4">
        <v>990</v>
      </c>
      <c r="C13" s="4" t="str">
        <f t="shared" si="0"/>
        <v>Low Price</v>
      </c>
      <c r="D13" s="4">
        <v>1500</v>
      </c>
      <c r="E13" s="4">
        <f t="shared" si="1"/>
        <v>510</v>
      </c>
      <c r="F13" s="8">
        <v>34</v>
      </c>
      <c r="G13" s="8">
        <f t="shared" si="2"/>
        <v>0.34</v>
      </c>
      <c r="H13" s="8" t="str">
        <f t="shared" si="3"/>
        <v>Medium</v>
      </c>
      <c r="I13" s="4">
        <v>39</v>
      </c>
      <c r="J13" s="6">
        <v>4.7</v>
      </c>
      <c r="K13" t="str">
        <f t="shared" si="4"/>
        <v>Excellent</v>
      </c>
    </row>
    <row r="14" spans="1:11" x14ac:dyDescent="0.35">
      <c r="A14" t="s">
        <v>17</v>
      </c>
      <c r="B14" s="4">
        <v>552</v>
      </c>
      <c r="C14" s="4" t="str">
        <f t="shared" si="0"/>
        <v>Low Price</v>
      </c>
      <c r="D14" s="4">
        <v>1035</v>
      </c>
      <c r="E14" s="4">
        <f t="shared" si="1"/>
        <v>483</v>
      </c>
      <c r="F14" s="8">
        <v>47</v>
      </c>
      <c r="G14" s="8">
        <f t="shared" si="2"/>
        <v>0.47</v>
      </c>
      <c r="H14" s="8" t="str">
        <f t="shared" si="3"/>
        <v>High</v>
      </c>
      <c r="I14" s="4">
        <v>12</v>
      </c>
      <c r="J14" s="6">
        <v>4.8</v>
      </c>
      <c r="K14" t="str">
        <f t="shared" si="4"/>
        <v>Excellent</v>
      </c>
    </row>
    <row r="15" spans="1:11" x14ac:dyDescent="0.35">
      <c r="A15" t="s">
        <v>18</v>
      </c>
      <c r="B15" s="4">
        <v>501</v>
      </c>
      <c r="C15" s="4" t="str">
        <f t="shared" si="0"/>
        <v>Low Price</v>
      </c>
      <c r="D15" s="4">
        <v>860</v>
      </c>
      <c r="E15" s="4">
        <f t="shared" si="1"/>
        <v>359</v>
      </c>
      <c r="F15" s="8">
        <v>42</v>
      </c>
      <c r="G15" s="8">
        <f t="shared" si="2"/>
        <v>0.42</v>
      </c>
      <c r="H15" s="8" t="str">
        <f t="shared" si="3"/>
        <v>High</v>
      </c>
      <c r="I15" s="4">
        <v>6</v>
      </c>
      <c r="J15" s="6">
        <v>4.5</v>
      </c>
      <c r="K15" t="str">
        <f t="shared" si="4"/>
        <v>Excellent</v>
      </c>
    </row>
    <row r="16" spans="1:11" x14ac:dyDescent="0.35">
      <c r="A16" t="s">
        <v>19</v>
      </c>
      <c r="B16" s="4">
        <v>1680</v>
      </c>
      <c r="C16" s="4" t="str">
        <f t="shared" si="0"/>
        <v>Medium Price</v>
      </c>
      <c r="D16" s="4">
        <v>2499</v>
      </c>
      <c r="E16" s="4">
        <f t="shared" si="1"/>
        <v>819</v>
      </c>
      <c r="F16" s="8">
        <v>33</v>
      </c>
      <c r="G16" s="8">
        <f t="shared" si="2"/>
        <v>0.33</v>
      </c>
      <c r="H16" s="8" t="str">
        <f t="shared" si="3"/>
        <v>Medium</v>
      </c>
      <c r="I16" s="4">
        <v>9</v>
      </c>
      <c r="J16" s="6">
        <v>4.2</v>
      </c>
      <c r="K16" t="str">
        <f t="shared" si="4"/>
        <v>Average</v>
      </c>
    </row>
    <row r="17" spans="1:11" x14ac:dyDescent="0.35">
      <c r="A17" t="s">
        <v>20</v>
      </c>
      <c r="B17" s="4">
        <v>332</v>
      </c>
      <c r="C17" s="4" t="str">
        <f t="shared" si="0"/>
        <v>Low Price</v>
      </c>
      <c r="D17" s="4">
        <v>684</v>
      </c>
      <c r="E17" s="4">
        <f t="shared" si="1"/>
        <v>352</v>
      </c>
      <c r="F17" s="8">
        <v>51</v>
      </c>
      <c r="G17" s="8">
        <f t="shared" si="2"/>
        <v>0.51</v>
      </c>
      <c r="H17" s="8" t="str">
        <f t="shared" si="3"/>
        <v>High</v>
      </c>
      <c r="I17" s="4">
        <v>2</v>
      </c>
      <c r="J17" s="6">
        <v>5</v>
      </c>
      <c r="K17" t="str">
        <f t="shared" si="4"/>
        <v>Excellent</v>
      </c>
    </row>
    <row r="18" spans="1:11" x14ac:dyDescent="0.35">
      <c r="A18" t="s">
        <v>21</v>
      </c>
      <c r="B18" s="4">
        <v>195</v>
      </c>
      <c r="C18" s="4" t="str">
        <f t="shared" si="0"/>
        <v>Low Price</v>
      </c>
      <c r="D18" s="4">
        <v>360</v>
      </c>
      <c r="E18" s="4">
        <f t="shared" si="1"/>
        <v>165</v>
      </c>
      <c r="F18" s="8">
        <v>46</v>
      </c>
      <c r="G18" s="8">
        <f t="shared" si="2"/>
        <v>0.46</v>
      </c>
      <c r="H18" s="8" t="str">
        <f t="shared" si="3"/>
        <v>High</v>
      </c>
      <c r="I18" s="4">
        <v>2</v>
      </c>
      <c r="J18" s="6">
        <v>5</v>
      </c>
      <c r="K18" t="str">
        <f t="shared" si="4"/>
        <v>Excellent</v>
      </c>
    </row>
    <row r="19" spans="1:11" x14ac:dyDescent="0.35">
      <c r="A19" t="s">
        <v>22</v>
      </c>
      <c r="B19" s="4">
        <v>2025</v>
      </c>
      <c r="C19" s="4" t="str">
        <f t="shared" si="0"/>
        <v>High Price</v>
      </c>
      <c r="D19" s="4">
        <v>3971</v>
      </c>
      <c r="E19" s="4">
        <f t="shared" si="1"/>
        <v>1946</v>
      </c>
      <c r="F19" s="8">
        <v>49</v>
      </c>
      <c r="G19" s="8">
        <f t="shared" si="2"/>
        <v>0.49</v>
      </c>
      <c r="H19" s="8" t="str">
        <f t="shared" si="3"/>
        <v>High</v>
      </c>
      <c r="I19" s="4">
        <v>3</v>
      </c>
      <c r="J19" s="6">
        <v>5</v>
      </c>
      <c r="K19" t="str">
        <f t="shared" si="4"/>
        <v>Excellent</v>
      </c>
    </row>
    <row r="20" spans="1:11" x14ac:dyDescent="0.35">
      <c r="A20" t="s">
        <v>23</v>
      </c>
      <c r="B20" s="4">
        <v>2999</v>
      </c>
      <c r="C20" s="4" t="str">
        <f t="shared" si="0"/>
        <v>High Price</v>
      </c>
      <c r="D20" s="4">
        <v>3699</v>
      </c>
      <c r="E20" s="4">
        <f t="shared" si="1"/>
        <v>700</v>
      </c>
      <c r="F20" s="8">
        <v>19</v>
      </c>
      <c r="G20" s="8">
        <f t="shared" si="2"/>
        <v>0.19</v>
      </c>
      <c r="H20" s="8" t="str">
        <f t="shared" si="3"/>
        <v>Low</v>
      </c>
      <c r="I20" s="4">
        <v>5</v>
      </c>
      <c r="J20" s="6">
        <v>4.5999999999999996</v>
      </c>
      <c r="K20" t="str">
        <f t="shared" si="4"/>
        <v>Excellent</v>
      </c>
    </row>
    <row r="21" spans="1:11" x14ac:dyDescent="0.35">
      <c r="A21" t="s">
        <v>24</v>
      </c>
      <c r="B21" s="4">
        <v>998</v>
      </c>
      <c r="C21" s="4" t="str">
        <f t="shared" si="0"/>
        <v>Low Price</v>
      </c>
      <c r="D21" s="4">
        <v>1966</v>
      </c>
      <c r="E21" s="4">
        <f t="shared" si="1"/>
        <v>968</v>
      </c>
      <c r="F21" s="8">
        <v>49</v>
      </c>
      <c r="G21" s="8">
        <f t="shared" si="2"/>
        <v>0.49</v>
      </c>
      <c r="H21" s="8" t="str">
        <f t="shared" si="3"/>
        <v>High</v>
      </c>
      <c r="I21" s="4">
        <v>44</v>
      </c>
      <c r="J21" s="6">
        <v>4.5999999999999996</v>
      </c>
      <c r="K21" t="str">
        <f t="shared" si="4"/>
        <v>Excellent</v>
      </c>
    </row>
    <row r="22" spans="1:11" x14ac:dyDescent="0.35">
      <c r="A22" t="s">
        <v>25</v>
      </c>
      <c r="B22" s="4">
        <v>38</v>
      </c>
      <c r="C22" s="4" t="str">
        <f t="shared" si="0"/>
        <v>Low Price</v>
      </c>
      <c r="D22" s="4">
        <v>80</v>
      </c>
      <c r="E22" s="4">
        <f t="shared" si="1"/>
        <v>42</v>
      </c>
      <c r="F22" s="8">
        <v>53</v>
      </c>
      <c r="G22" s="8">
        <f t="shared" si="2"/>
        <v>0.53</v>
      </c>
      <c r="H22" s="8" t="str">
        <f t="shared" si="3"/>
        <v>High</v>
      </c>
      <c r="I22" s="4">
        <v>13</v>
      </c>
      <c r="J22" s="6">
        <v>3.3</v>
      </c>
      <c r="K22" t="str">
        <f t="shared" si="4"/>
        <v>Average</v>
      </c>
    </row>
    <row r="23" spans="1:11" x14ac:dyDescent="0.35">
      <c r="A23" t="s">
        <v>26</v>
      </c>
      <c r="B23" s="4">
        <v>1860</v>
      </c>
      <c r="C23" s="4" t="str">
        <f t="shared" si="0"/>
        <v>Medium Price</v>
      </c>
      <c r="D23" s="4">
        <v>3220</v>
      </c>
      <c r="E23" s="4">
        <f t="shared" si="1"/>
        <v>1360</v>
      </c>
      <c r="F23" s="8">
        <v>42</v>
      </c>
      <c r="G23" s="8">
        <f t="shared" si="2"/>
        <v>0.42</v>
      </c>
      <c r="H23" s="8" t="str">
        <f t="shared" si="3"/>
        <v>High</v>
      </c>
      <c r="I23" s="4" t="s">
        <v>115</v>
      </c>
      <c r="J23" s="6" t="s">
        <v>115</v>
      </c>
      <c r="K23" t="str">
        <f t="shared" si="4"/>
        <v>Excellent</v>
      </c>
    </row>
    <row r="24" spans="1:11" x14ac:dyDescent="0.35">
      <c r="A24" t="s">
        <v>27</v>
      </c>
      <c r="B24" s="4">
        <v>880</v>
      </c>
      <c r="C24" s="4" t="str">
        <f t="shared" si="0"/>
        <v>Low Price</v>
      </c>
      <c r="D24" s="4">
        <v>1350</v>
      </c>
      <c r="E24" s="4">
        <f t="shared" si="1"/>
        <v>470</v>
      </c>
      <c r="F24" s="8">
        <v>35</v>
      </c>
      <c r="G24" s="8">
        <f t="shared" si="2"/>
        <v>0.35</v>
      </c>
      <c r="H24" s="8" t="str">
        <f t="shared" si="3"/>
        <v>Medium</v>
      </c>
      <c r="I24" s="4">
        <v>6</v>
      </c>
      <c r="J24" s="6">
        <v>4</v>
      </c>
      <c r="K24" t="str">
        <f t="shared" si="4"/>
        <v>Average</v>
      </c>
    </row>
    <row r="25" spans="1:11" x14ac:dyDescent="0.35">
      <c r="A25" t="s">
        <v>28</v>
      </c>
      <c r="B25" s="4">
        <v>1650</v>
      </c>
      <c r="C25" s="4" t="str">
        <f t="shared" si="0"/>
        <v>Medium Price</v>
      </c>
      <c r="D25" s="4">
        <v>2150</v>
      </c>
      <c r="E25" s="4">
        <f t="shared" si="1"/>
        <v>500</v>
      </c>
      <c r="F25" s="8">
        <v>23</v>
      </c>
      <c r="G25" s="8">
        <f t="shared" si="2"/>
        <v>0.23</v>
      </c>
      <c r="H25" s="8" t="str">
        <f t="shared" si="3"/>
        <v>Medium</v>
      </c>
      <c r="I25" s="4">
        <v>14</v>
      </c>
      <c r="J25" s="6">
        <v>4.4000000000000004</v>
      </c>
      <c r="K25" t="str">
        <f t="shared" si="4"/>
        <v>Average</v>
      </c>
    </row>
    <row r="26" spans="1:11" x14ac:dyDescent="0.35">
      <c r="A26" t="s">
        <v>29</v>
      </c>
      <c r="B26" s="4">
        <v>2048</v>
      </c>
      <c r="C26" s="4" t="str">
        <f t="shared" si="0"/>
        <v>High Price</v>
      </c>
      <c r="D26" s="4">
        <v>4500</v>
      </c>
      <c r="E26" s="4">
        <f t="shared" si="1"/>
        <v>2452</v>
      </c>
      <c r="F26" s="8">
        <v>54</v>
      </c>
      <c r="G26" s="8">
        <f t="shared" si="2"/>
        <v>0.54</v>
      </c>
      <c r="H26" s="8" t="str">
        <f t="shared" si="3"/>
        <v>High</v>
      </c>
      <c r="I26" s="4">
        <v>7</v>
      </c>
      <c r="J26" s="6">
        <v>4.3</v>
      </c>
      <c r="K26" t="str">
        <f t="shared" si="4"/>
        <v>Average</v>
      </c>
    </row>
    <row r="27" spans="1:11" x14ac:dyDescent="0.35">
      <c r="A27" t="s">
        <v>30</v>
      </c>
      <c r="B27" s="4">
        <v>420</v>
      </c>
      <c r="C27" s="4" t="str">
        <f t="shared" si="0"/>
        <v>Low Price</v>
      </c>
      <c r="D27" s="4">
        <v>647</v>
      </c>
      <c r="E27" s="4">
        <f t="shared" si="1"/>
        <v>227</v>
      </c>
      <c r="F27" s="8">
        <v>35</v>
      </c>
      <c r="G27" s="8">
        <f t="shared" si="2"/>
        <v>0.35</v>
      </c>
      <c r="H27" s="8" t="str">
        <f t="shared" si="3"/>
        <v>Medium</v>
      </c>
      <c r="I27" s="4">
        <v>49</v>
      </c>
      <c r="J27" s="6">
        <v>4.5999999999999996</v>
      </c>
      <c r="K27" t="str">
        <f t="shared" si="4"/>
        <v>Excellent</v>
      </c>
    </row>
    <row r="28" spans="1:11" x14ac:dyDescent="0.35">
      <c r="A28" t="s">
        <v>31</v>
      </c>
      <c r="B28" s="4">
        <v>2880</v>
      </c>
      <c r="C28" s="4" t="str">
        <f t="shared" si="0"/>
        <v>High Price</v>
      </c>
      <c r="D28" s="4">
        <v>3520</v>
      </c>
      <c r="E28" s="4">
        <f t="shared" si="1"/>
        <v>640</v>
      </c>
      <c r="F28" s="8">
        <v>18</v>
      </c>
      <c r="G28" s="8">
        <f t="shared" si="2"/>
        <v>0.18</v>
      </c>
      <c r="H28" s="8" t="str">
        <f t="shared" si="3"/>
        <v>Low</v>
      </c>
      <c r="I28" s="4">
        <v>12</v>
      </c>
      <c r="J28" s="6">
        <v>3.8</v>
      </c>
      <c r="K28" t="str">
        <f t="shared" si="4"/>
        <v>Average</v>
      </c>
    </row>
    <row r="29" spans="1:11" x14ac:dyDescent="0.35">
      <c r="A29" t="s">
        <v>32</v>
      </c>
      <c r="B29" s="4">
        <v>1350</v>
      </c>
      <c r="C29" s="4" t="str">
        <f t="shared" si="0"/>
        <v>Medium Price</v>
      </c>
      <c r="D29" s="4">
        <v>1990</v>
      </c>
      <c r="E29" s="4">
        <f t="shared" si="1"/>
        <v>640</v>
      </c>
      <c r="F29" s="8">
        <v>32</v>
      </c>
      <c r="G29" s="8">
        <f t="shared" si="2"/>
        <v>0.32</v>
      </c>
      <c r="H29" s="8" t="str">
        <f t="shared" si="3"/>
        <v>Medium</v>
      </c>
      <c r="I29" s="4">
        <v>13</v>
      </c>
      <c r="J29" s="6">
        <v>3.8</v>
      </c>
      <c r="K29" t="str">
        <f t="shared" si="4"/>
        <v>Average</v>
      </c>
    </row>
    <row r="30" spans="1:11" x14ac:dyDescent="0.35">
      <c r="A30" t="s">
        <v>33</v>
      </c>
      <c r="B30" s="4">
        <v>1758</v>
      </c>
      <c r="C30" s="4" t="str">
        <f t="shared" si="0"/>
        <v>Medium Price</v>
      </c>
      <c r="D30" s="4">
        <v>2499</v>
      </c>
      <c r="E30" s="4">
        <f t="shared" si="1"/>
        <v>741</v>
      </c>
      <c r="F30" s="8">
        <v>30</v>
      </c>
      <c r="G30" s="8">
        <f t="shared" si="2"/>
        <v>0.3</v>
      </c>
      <c r="H30" s="8" t="str">
        <f t="shared" si="3"/>
        <v>Medium</v>
      </c>
      <c r="I30" s="4">
        <v>20</v>
      </c>
      <c r="J30" s="6">
        <v>4.0999999999999996</v>
      </c>
      <c r="K30" t="str">
        <f t="shared" si="4"/>
        <v>Average</v>
      </c>
    </row>
    <row r="31" spans="1:11" x14ac:dyDescent="0.35">
      <c r="A31" t="s">
        <v>34</v>
      </c>
      <c r="B31" s="4">
        <v>2200</v>
      </c>
      <c r="C31" s="4" t="str">
        <f t="shared" si="0"/>
        <v>High Price</v>
      </c>
      <c r="D31" s="4">
        <v>4080</v>
      </c>
      <c r="E31" s="4">
        <f t="shared" si="1"/>
        <v>1880</v>
      </c>
      <c r="F31" s="8">
        <v>46</v>
      </c>
      <c r="G31" s="8">
        <f t="shared" si="2"/>
        <v>0.46</v>
      </c>
      <c r="H31" s="8" t="str">
        <f t="shared" si="3"/>
        <v>High</v>
      </c>
      <c r="I31" s="4" t="s">
        <v>115</v>
      </c>
      <c r="J31" s="6" t="s">
        <v>115</v>
      </c>
      <c r="K31" t="str">
        <f t="shared" si="4"/>
        <v>Excellent</v>
      </c>
    </row>
    <row r="32" spans="1:11" x14ac:dyDescent="0.35">
      <c r="A32" t="s">
        <v>35</v>
      </c>
      <c r="B32" s="4">
        <v>185</v>
      </c>
      <c r="C32" s="4" t="str">
        <f t="shared" si="0"/>
        <v>Low Price</v>
      </c>
      <c r="D32" s="4">
        <v>382</v>
      </c>
      <c r="E32" s="4">
        <f t="shared" si="1"/>
        <v>197</v>
      </c>
      <c r="F32" s="8">
        <v>52</v>
      </c>
      <c r="G32" s="8">
        <f t="shared" si="2"/>
        <v>0.52</v>
      </c>
      <c r="H32" s="8" t="str">
        <f t="shared" si="3"/>
        <v>High</v>
      </c>
      <c r="I32" s="4">
        <v>9</v>
      </c>
      <c r="J32" s="6">
        <v>4.3</v>
      </c>
      <c r="K32" t="str">
        <f t="shared" si="4"/>
        <v>Average</v>
      </c>
    </row>
    <row r="33" spans="1:11" x14ac:dyDescent="0.35">
      <c r="A33" t="s">
        <v>36</v>
      </c>
      <c r="B33" s="4">
        <v>980</v>
      </c>
      <c r="C33" s="4" t="str">
        <f t="shared" si="0"/>
        <v>Low Price</v>
      </c>
      <c r="D33" s="4">
        <v>1490</v>
      </c>
      <c r="E33" s="4">
        <f t="shared" si="1"/>
        <v>510</v>
      </c>
      <c r="F33" s="8">
        <v>34</v>
      </c>
      <c r="G33" s="8">
        <f t="shared" si="2"/>
        <v>0.34</v>
      </c>
      <c r="H33" s="8" t="str">
        <f t="shared" si="3"/>
        <v>Medium</v>
      </c>
      <c r="I33" s="4">
        <v>12</v>
      </c>
      <c r="J33" s="6">
        <v>4.7</v>
      </c>
      <c r="K33" t="str">
        <f t="shared" si="4"/>
        <v>Excellent</v>
      </c>
    </row>
    <row r="34" spans="1:11" x14ac:dyDescent="0.35">
      <c r="A34" t="s">
        <v>37</v>
      </c>
      <c r="B34" s="4">
        <v>1820</v>
      </c>
      <c r="C34" s="4" t="str">
        <f t="shared" si="0"/>
        <v>Medium Price</v>
      </c>
      <c r="D34" s="4">
        <v>3490</v>
      </c>
      <c r="E34" s="4">
        <f t="shared" si="1"/>
        <v>1670</v>
      </c>
      <c r="F34" s="8">
        <v>48</v>
      </c>
      <c r="G34" s="8">
        <f t="shared" si="2"/>
        <v>0.48</v>
      </c>
      <c r="H34" s="8" t="str">
        <f t="shared" si="3"/>
        <v>High</v>
      </c>
      <c r="I34" s="4">
        <v>9</v>
      </c>
      <c r="J34" s="6">
        <v>4.3</v>
      </c>
      <c r="K34" t="str">
        <f t="shared" si="4"/>
        <v>Average</v>
      </c>
    </row>
    <row r="35" spans="1:11" x14ac:dyDescent="0.35">
      <c r="A35" t="s">
        <v>38</v>
      </c>
      <c r="B35" s="4">
        <v>1940</v>
      </c>
      <c r="C35" s="4" t="str">
        <f t="shared" si="0"/>
        <v>Medium Price</v>
      </c>
      <c r="D35" s="4">
        <v>2650</v>
      </c>
      <c r="E35" s="4">
        <f t="shared" si="1"/>
        <v>710</v>
      </c>
      <c r="F35" s="8">
        <v>27</v>
      </c>
      <c r="G35" s="8">
        <f t="shared" si="2"/>
        <v>0.27</v>
      </c>
      <c r="H35" s="8" t="str">
        <f t="shared" si="3"/>
        <v>Medium</v>
      </c>
      <c r="I35" s="4">
        <v>20</v>
      </c>
      <c r="J35" s="6">
        <v>4.7</v>
      </c>
      <c r="K35" t="str">
        <f t="shared" si="4"/>
        <v>Excellent</v>
      </c>
    </row>
    <row r="36" spans="1:11" x14ac:dyDescent="0.35">
      <c r="A36" t="s">
        <v>39</v>
      </c>
      <c r="B36" s="4">
        <v>1980</v>
      </c>
      <c r="C36" s="4" t="str">
        <f t="shared" si="0"/>
        <v>Medium Price</v>
      </c>
      <c r="D36" s="4">
        <v>2699</v>
      </c>
      <c r="E36" s="4">
        <f t="shared" si="1"/>
        <v>719</v>
      </c>
      <c r="F36" s="8">
        <v>27</v>
      </c>
      <c r="G36" s="8">
        <f t="shared" si="2"/>
        <v>0.27</v>
      </c>
      <c r="H36" s="8" t="str">
        <f t="shared" si="3"/>
        <v>Medium</v>
      </c>
      <c r="I36" s="4">
        <v>32</v>
      </c>
      <c r="J36" s="6">
        <v>4.5</v>
      </c>
      <c r="K36" t="str">
        <f t="shared" si="4"/>
        <v>Excellent</v>
      </c>
    </row>
    <row r="37" spans="1:11" x14ac:dyDescent="0.35">
      <c r="A37" t="s">
        <v>40</v>
      </c>
      <c r="B37" s="4">
        <v>1620</v>
      </c>
      <c r="C37" s="4" t="str">
        <f t="shared" si="0"/>
        <v>Medium Price</v>
      </c>
      <c r="D37" s="4">
        <v>2690</v>
      </c>
      <c r="E37" s="4">
        <f t="shared" si="1"/>
        <v>1070</v>
      </c>
      <c r="F37" s="8">
        <v>40</v>
      </c>
      <c r="G37" s="8">
        <f t="shared" si="2"/>
        <v>0.4</v>
      </c>
      <c r="H37" s="8" t="str">
        <f t="shared" si="3"/>
        <v>Medium</v>
      </c>
      <c r="I37" s="4">
        <v>1</v>
      </c>
      <c r="J37" s="6">
        <v>5</v>
      </c>
      <c r="K37" t="str">
        <f t="shared" si="4"/>
        <v>Excellent</v>
      </c>
    </row>
    <row r="38" spans="1:11" x14ac:dyDescent="0.35">
      <c r="A38" t="s">
        <v>41</v>
      </c>
      <c r="B38" s="4">
        <v>171</v>
      </c>
      <c r="C38" s="4" t="str">
        <f t="shared" si="0"/>
        <v>Low Price</v>
      </c>
      <c r="D38" s="4">
        <v>360</v>
      </c>
      <c r="E38" s="4">
        <f t="shared" si="1"/>
        <v>189</v>
      </c>
      <c r="F38" s="8">
        <v>53</v>
      </c>
      <c r="G38" s="8">
        <f t="shared" si="2"/>
        <v>0.53</v>
      </c>
      <c r="H38" s="8" t="str">
        <f t="shared" si="3"/>
        <v>High</v>
      </c>
      <c r="I38" s="4">
        <v>2</v>
      </c>
      <c r="J38" s="6">
        <v>5</v>
      </c>
      <c r="K38" t="str">
        <f t="shared" si="4"/>
        <v>Excellent</v>
      </c>
    </row>
    <row r="39" spans="1:11" x14ac:dyDescent="0.35">
      <c r="A39" t="s">
        <v>42</v>
      </c>
      <c r="B39" s="4">
        <v>389</v>
      </c>
      <c r="C39" s="4" t="str">
        <f t="shared" si="0"/>
        <v>Low Price</v>
      </c>
      <c r="D39" s="4">
        <v>656</v>
      </c>
      <c r="E39" s="4">
        <f t="shared" si="1"/>
        <v>267</v>
      </c>
      <c r="F39" s="8">
        <v>41</v>
      </c>
      <c r="G39" s="8">
        <f t="shared" si="2"/>
        <v>0.41</v>
      </c>
      <c r="H39" s="8" t="str">
        <f t="shared" si="3"/>
        <v>High</v>
      </c>
      <c r="I39" s="4">
        <v>36</v>
      </c>
      <c r="J39" s="6">
        <v>4.3</v>
      </c>
      <c r="K39" t="str">
        <f t="shared" si="4"/>
        <v>Average</v>
      </c>
    </row>
    <row r="40" spans="1:11" x14ac:dyDescent="0.35">
      <c r="A40" t="s">
        <v>43</v>
      </c>
      <c r="B40" s="4">
        <v>1800</v>
      </c>
      <c r="C40" s="4" t="str">
        <f t="shared" si="0"/>
        <v>Medium Price</v>
      </c>
      <c r="D40" s="4">
        <v>3200</v>
      </c>
      <c r="E40" s="4">
        <f t="shared" si="1"/>
        <v>1400</v>
      </c>
      <c r="F40" s="8">
        <v>38</v>
      </c>
      <c r="G40" s="8">
        <f t="shared" si="2"/>
        <v>0.38</v>
      </c>
      <c r="H40" s="8" t="str">
        <f t="shared" si="3"/>
        <v>Medium</v>
      </c>
      <c r="I40" s="4">
        <v>2</v>
      </c>
      <c r="J40" s="6">
        <v>4.5</v>
      </c>
      <c r="K40" t="str">
        <f t="shared" si="4"/>
        <v>Excellent</v>
      </c>
    </row>
    <row r="41" spans="1:11" x14ac:dyDescent="0.35">
      <c r="A41" t="s">
        <v>44</v>
      </c>
      <c r="B41" s="4">
        <v>2750</v>
      </c>
      <c r="C41" s="4" t="str">
        <f t="shared" si="0"/>
        <v>High Price</v>
      </c>
      <c r="D41" s="4">
        <v>4471</v>
      </c>
      <c r="E41" s="4">
        <f t="shared" si="1"/>
        <v>1721</v>
      </c>
      <c r="F41" s="8">
        <v>38</v>
      </c>
      <c r="G41" s="8">
        <f t="shared" si="2"/>
        <v>0.38</v>
      </c>
      <c r="H41" s="8" t="str">
        <f t="shared" si="3"/>
        <v>Medium</v>
      </c>
      <c r="I41" s="4" t="s">
        <v>115</v>
      </c>
      <c r="J41" s="6" t="s">
        <v>115</v>
      </c>
      <c r="K41" t="str">
        <f t="shared" si="4"/>
        <v>Excellent</v>
      </c>
    </row>
    <row r="42" spans="1:11" x14ac:dyDescent="0.35">
      <c r="A42" t="s">
        <v>45</v>
      </c>
      <c r="B42" s="4">
        <v>475</v>
      </c>
      <c r="C42" s="4" t="str">
        <f t="shared" si="0"/>
        <v>Low Price</v>
      </c>
      <c r="D42" s="4">
        <v>931</v>
      </c>
      <c r="E42" s="4">
        <f t="shared" si="1"/>
        <v>456</v>
      </c>
      <c r="F42" s="8">
        <v>49</v>
      </c>
      <c r="G42" s="8">
        <f t="shared" si="2"/>
        <v>0.49</v>
      </c>
      <c r="H42" s="8" t="str">
        <f t="shared" si="3"/>
        <v>High</v>
      </c>
      <c r="I42" s="4" t="s">
        <v>115</v>
      </c>
      <c r="J42" s="6" t="s">
        <v>115</v>
      </c>
      <c r="K42" t="str">
        <f t="shared" si="4"/>
        <v>Excellent</v>
      </c>
    </row>
    <row r="43" spans="1:11" x14ac:dyDescent="0.35">
      <c r="A43" t="s">
        <v>46</v>
      </c>
      <c r="B43" s="4">
        <v>238</v>
      </c>
      <c r="C43" s="4" t="str">
        <f t="shared" si="0"/>
        <v>Low Price</v>
      </c>
      <c r="D43" s="4">
        <v>476</v>
      </c>
      <c r="E43" s="4">
        <f t="shared" si="1"/>
        <v>238</v>
      </c>
      <c r="F43" s="8">
        <v>50</v>
      </c>
      <c r="G43" s="8">
        <f t="shared" si="2"/>
        <v>0.5</v>
      </c>
      <c r="H43" s="8" t="str">
        <f t="shared" si="3"/>
        <v>High</v>
      </c>
      <c r="I43" s="4" t="s">
        <v>115</v>
      </c>
      <c r="J43" s="6" t="s">
        <v>115</v>
      </c>
      <c r="K43" t="str">
        <f t="shared" si="4"/>
        <v>Excellent</v>
      </c>
    </row>
    <row r="44" spans="1:11" x14ac:dyDescent="0.35">
      <c r="A44" t="s">
        <v>47</v>
      </c>
      <c r="B44" s="4">
        <v>610</v>
      </c>
      <c r="C44" s="4" t="str">
        <f t="shared" si="0"/>
        <v>Low Price</v>
      </c>
      <c r="D44" s="4">
        <v>1060</v>
      </c>
      <c r="E44" s="4">
        <f t="shared" si="1"/>
        <v>450</v>
      </c>
      <c r="F44" s="8">
        <v>42</v>
      </c>
      <c r="G44" s="8">
        <f t="shared" si="2"/>
        <v>0.42</v>
      </c>
      <c r="H44" s="8" t="str">
        <f t="shared" si="3"/>
        <v>High</v>
      </c>
      <c r="I44" s="4" t="s">
        <v>115</v>
      </c>
      <c r="J44" s="6" t="s">
        <v>115</v>
      </c>
      <c r="K44" t="str">
        <f t="shared" si="4"/>
        <v>Excellent</v>
      </c>
    </row>
    <row r="45" spans="1:11" x14ac:dyDescent="0.35">
      <c r="A45" t="s">
        <v>48</v>
      </c>
      <c r="B45" s="4">
        <v>2132</v>
      </c>
      <c r="C45" s="4" t="str">
        <f t="shared" si="0"/>
        <v>High Price</v>
      </c>
      <c r="D45" s="4">
        <v>2169</v>
      </c>
      <c r="E45" s="4">
        <f t="shared" si="1"/>
        <v>37</v>
      </c>
      <c r="F45" s="8">
        <v>2</v>
      </c>
      <c r="G45" s="8">
        <f t="shared" si="2"/>
        <v>0.02</v>
      </c>
      <c r="H45" s="8" t="str">
        <f t="shared" si="3"/>
        <v>Low</v>
      </c>
      <c r="I45" s="4" t="s">
        <v>115</v>
      </c>
      <c r="J45" s="6" t="s">
        <v>115</v>
      </c>
      <c r="K45" t="str">
        <f t="shared" si="4"/>
        <v>Excellent</v>
      </c>
    </row>
    <row r="46" spans="1:11" x14ac:dyDescent="0.35">
      <c r="A46" t="s">
        <v>49</v>
      </c>
      <c r="B46" s="4">
        <v>999</v>
      </c>
      <c r="C46" s="4" t="str">
        <f t="shared" si="0"/>
        <v>Low Price</v>
      </c>
      <c r="D46" s="4">
        <v>2000</v>
      </c>
      <c r="E46" s="4">
        <f t="shared" si="1"/>
        <v>1001</v>
      </c>
      <c r="F46" s="8">
        <v>50</v>
      </c>
      <c r="G46" s="8">
        <f t="shared" si="2"/>
        <v>0.5</v>
      </c>
      <c r="H46" s="8" t="str">
        <f t="shared" si="3"/>
        <v>High</v>
      </c>
      <c r="I46" s="4" t="s">
        <v>115</v>
      </c>
      <c r="J46" s="6" t="s">
        <v>115</v>
      </c>
      <c r="K46" t="str">
        <f t="shared" si="4"/>
        <v>Excellent</v>
      </c>
    </row>
    <row r="47" spans="1:11" x14ac:dyDescent="0.35">
      <c r="A47" t="s">
        <v>50</v>
      </c>
      <c r="B47" s="4">
        <v>1190</v>
      </c>
      <c r="C47" s="4" t="str">
        <f t="shared" si="0"/>
        <v>Medium Price</v>
      </c>
      <c r="D47" s="4">
        <v>1785</v>
      </c>
      <c r="E47" s="4">
        <f t="shared" si="1"/>
        <v>595</v>
      </c>
      <c r="F47" s="8">
        <v>33</v>
      </c>
      <c r="G47" s="8">
        <f t="shared" si="2"/>
        <v>0.33</v>
      </c>
      <c r="H47" s="8" t="str">
        <f t="shared" si="3"/>
        <v>Medium</v>
      </c>
      <c r="I47" s="4" t="s">
        <v>115</v>
      </c>
      <c r="J47" s="6" t="s">
        <v>115</v>
      </c>
      <c r="K47" t="str">
        <f t="shared" si="4"/>
        <v>Excellent</v>
      </c>
    </row>
    <row r="48" spans="1:11" x14ac:dyDescent="0.35">
      <c r="A48" t="s">
        <v>51</v>
      </c>
      <c r="B48" s="4">
        <v>671</v>
      </c>
      <c r="C48" s="4" t="str">
        <f t="shared" si="0"/>
        <v>Low Price</v>
      </c>
      <c r="D48" s="4">
        <v>1316</v>
      </c>
      <c r="E48" s="4">
        <f t="shared" si="1"/>
        <v>645</v>
      </c>
      <c r="F48" s="8">
        <v>49</v>
      </c>
      <c r="G48" s="8">
        <f t="shared" si="2"/>
        <v>0.49</v>
      </c>
      <c r="H48" s="8" t="str">
        <f t="shared" si="3"/>
        <v>High</v>
      </c>
      <c r="I48" s="4" t="s">
        <v>115</v>
      </c>
      <c r="J48" s="6" t="s">
        <v>115</v>
      </c>
      <c r="K48" t="str">
        <f t="shared" si="4"/>
        <v>Excellent</v>
      </c>
    </row>
    <row r="49" spans="1:11" x14ac:dyDescent="0.35">
      <c r="A49" t="s">
        <v>52</v>
      </c>
      <c r="B49" s="4">
        <v>1200</v>
      </c>
      <c r="C49" s="4" t="str">
        <f t="shared" si="0"/>
        <v>Medium Price</v>
      </c>
      <c r="D49" s="4">
        <v>1950</v>
      </c>
      <c r="E49" s="4">
        <f t="shared" si="1"/>
        <v>750</v>
      </c>
      <c r="F49" s="8">
        <v>38</v>
      </c>
      <c r="G49" s="8">
        <f t="shared" si="2"/>
        <v>0.38</v>
      </c>
      <c r="H49" s="8" t="str">
        <f t="shared" si="3"/>
        <v>Medium</v>
      </c>
      <c r="I49" s="4" t="s">
        <v>115</v>
      </c>
      <c r="J49" s="6" t="s">
        <v>115</v>
      </c>
      <c r="K49" t="str">
        <f t="shared" si="4"/>
        <v>Excellent</v>
      </c>
    </row>
    <row r="50" spans="1:11" x14ac:dyDescent="0.35">
      <c r="A50" t="s">
        <v>53</v>
      </c>
      <c r="B50" s="4">
        <v>199</v>
      </c>
      <c r="C50" s="4" t="str">
        <f t="shared" si="0"/>
        <v>Low Price</v>
      </c>
      <c r="D50" s="4">
        <v>504</v>
      </c>
      <c r="E50" s="4">
        <f t="shared" si="1"/>
        <v>305</v>
      </c>
      <c r="F50" s="8">
        <v>61</v>
      </c>
      <c r="G50" s="8">
        <f t="shared" si="2"/>
        <v>0.61</v>
      </c>
      <c r="H50" s="8" t="str">
        <f t="shared" si="3"/>
        <v>High</v>
      </c>
      <c r="I50" s="4" t="s">
        <v>115</v>
      </c>
      <c r="J50" s="6" t="s">
        <v>115</v>
      </c>
      <c r="K50" t="str">
        <f t="shared" si="4"/>
        <v>Excellent</v>
      </c>
    </row>
    <row r="51" spans="1:11" x14ac:dyDescent="0.35">
      <c r="A51" t="s">
        <v>54</v>
      </c>
      <c r="B51" s="4">
        <v>299</v>
      </c>
      <c r="C51" s="4" t="str">
        <f t="shared" si="0"/>
        <v>Low Price</v>
      </c>
      <c r="D51" s="4">
        <v>600</v>
      </c>
      <c r="E51" s="4">
        <f t="shared" si="1"/>
        <v>301</v>
      </c>
      <c r="F51" s="8">
        <v>50</v>
      </c>
      <c r="G51" s="8">
        <f t="shared" si="2"/>
        <v>0.5</v>
      </c>
      <c r="H51" s="8" t="str">
        <f t="shared" si="3"/>
        <v>High</v>
      </c>
      <c r="I51" s="4" t="s">
        <v>115</v>
      </c>
      <c r="J51" s="6" t="s">
        <v>115</v>
      </c>
      <c r="K51" t="str">
        <f t="shared" si="4"/>
        <v>Excellent</v>
      </c>
    </row>
    <row r="52" spans="1:11" x14ac:dyDescent="0.35">
      <c r="A52" t="s">
        <v>55</v>
      </c>
      <c r="B52" s="4">
        <v>1660</v>
      </c>
      <c r="C52" s="4" t="str">
        <f t="shared" si="0"/>
        <v>Medium Price</v>
      </c>
      <c r="D52" s="4">
        <v>1699</v>
      </c>
      <c r="E52" s="4">
        <f t="shared" si="1"/>
        <v>39</v>
      </c>
      <c r="F52" s="8">
        <v>2</v>
      </c>
      <c r="G52" s="8">
        <f t="shared" si="2"/>
        <v>0.02</v>
      </c>
      <c r="H52" s="8" t="str">
        <f t="shared" si="3"/>
        <v>Low</v>
      </c>
      <c r="I52" s="4" t="s">
        <v>115</v>
      </c>
      <c r="J52" s="6" t="s">
        <v>115</v>
      </c>
      <c r="K52" t="str">
        <f t="shared" si="4"/>
        <v>Excellent</v>
      </c>
    </row>
    <row r="53" spans="1:11" x14ac:dyDescent="0.35">
      <c r="A53" t="s">
        <v>56</v>
      </c>
      <c r="B53" s="4">
        <v>299</v>
      </c>
      <c r="C53" s="4" t="str">
        <f t="shared" si="0"/>
        <v>Low Price</v>
      </c>
      <c r="D53" s="4">
        <v>384</v>
      </c>
      <c r="E53" s="4">
        <f t="shared" si="1"/>
        <v>85</v>
      </c>
      <c r="F53" s="8">
        <v>22</v>
      </c>
      <c r="G53" s="8">
        <f t="shared" si="2"/>
        <v>0.22</v>
      </c>
      <c r="H53" s="8" t="str">
        <f t="shared" si="3"/>
        <v>Medium</v>
      </c>
      <c r="I53" s="4" t="s">
        <v>115</v>
      </c>
      <c r="J53" s="6" t="s">
        <v>115</v>
      </c>
      <c r="K53" t="str">
        <f t="shared" si="4"/>
        <v>Excellent</v>
      </c>
    </row>
    <row r="54" spans="1:11" x14ac:dyDescent="0.35">
      <c r="A54" t="s">
        <v>57</v>
      </c>
      <c r="B54" s="4">
        <v>1459</v>
      </c>
      <c r="C54" s="4" t="str">
        <f t="shared" si="0"/>
        <v>Medium Price</v>
      </c>
      <c r="D54" s="4">
        <v>1499</v>
      </c>
      <c r="E54" s="4">
        <f t="shared" si="1"/>
        <v>40</v>
      </c>
      <c r="F54" s="8">
        <v>3</v>
      </c>
      <c r="G54" s="8">
        <f t="shared" si="2"/>
        <v>0.03</v>
      </c>
      <c r="H54" s="8" t="str">
        <f t="shared" si="3"/>
        <v>Low</v>
      </c>
      <c r="I54" s="4" t="s">
        <v>115</v>
      </c>
      <c r="J54" s="6" t="s">
        <v>115</v>
      </c>
      <c r="K54" t="str">
        <f t="shared" si="4"/>
        <v>Excellent</v>
      </c>
    </row>
    <row r="55" spans="1:11" x14ac:dyDescent="0.35">
      <c r="A55" t="s">
        <v>58</v>
      </c>
      <c r="B55" s="4">
        <v>799</v>
      </c>
      <c r="C55" s="4" t="str">
        <f t="shared" si="0"/>
        <v>Low Price</v>
      </c>
      <c r="D55" s="4">
        <v>1343</v>
      </c>
      <c r="E55" s="4">
        <f t="shared" si="1"/>
        <v>544</v>
      </c>
      <c r="F55" s="8">
        <v>41</v>
      </c>
      <c r="G55" s="8">
        <f t="shared" si="2"/>
        <v>0.41</v>
      </c>
      <c r="H55" s="8" t="str">
        <f t="shared" si="3"/>
        <v>High</v>
      </c>
      <c r="I55" s="4" t="s">
        <v>115</v>
      </c>
      <c r="J55" s="6" t="s">
        <v>115</v>
      </c>
      <c r="K55" t="str">
        <f t="shared" si="4"/>
        <v>Excellent</v>
      </c>
    </row>
    <row r="56" spans="1:11" x14ac:dyDescent="0.35">
      <c r="A56" t="s">
        <v>59</v>
      </c>
      <c r="B56" s="4">
        <v>499</v>
      </c>
      <c r="C56" s="4" t="str">
        <f t="shared" si="0"/>
        <v>Low Price</v>
      </c>
      <c r="D56" s="4">
        <v>900</v>
      </c>
      <c r="E56" s="4">
        <f t="shared" si="1"/>
        <v>401</v>
      </c>
      <c r="F56" s="8">
        <v>45</v>
      </c>
      <c r="G56" s="8">
        <f t="shared" si="2"/>
        <v>0.45</v>
      </c>
      <c r="H56" s="8" t="str">
        <f t="shared" si="3"/>
        <v>High</v>
      </c>
      <c r="I56" s="4" t="s">
        <v>115</v>
      </c>
      <c r="J56" s="6" t="s">
        <v>115</v>
      </c>
      <c r="K56" t="str">
        <f t="shared" si="4"/>
        <v>Excellent</v>
      </c>
    </row>
    <row r="57" spans="1:11" x14ac:dyDescent="0.35">
      <c r="A57" t="s">
        <v>60</v>
      </c>
      <c r="B57" s="4">
        <v>699</v>
      </c>
      <c r="C57" s="4" t="str">
        <f t="shared" si="0"/>
        <v>Low Price</v>
      </c>
      <c r="D57" s="4">
        <v>1343</v>
      </c>
      <c r="E57" s="4">
        <f t="shared" si="1"/>
        <v>644</v>
      </c>
      <c r="F57" s="8">
        <v>48</v>
      </c>
      <c r="G57" s="8">
        <f t="shared" si="2"/>
        <v>0.48</v>
      </c>
      <c r="H57" s="8" t="str">
        <f t="shared" si="3"/>
        <v>High</v>
      </c>
      <c r="I57" s="4" t="s">
        <v>115</v>
      </c>
      <c r="J57" s="6" t="s">
        <v>115</v>
      </c>
      <c r="K57" t="str">
        <f t="shared" si="4"/>
        <v>Excellent</v>
      </c>
    </row>
    <row r="58" spans="1:11" x14ac:dyDescent="0.35">
      <c r="A58" t="s">
        <v>61</v>
      </c>
      <c r="B58" s="4">
        <v>799</v>
      </c>
      <c r="C58" s="4" t="str">
        <f t="shared" si="0"/>
        <v>Low Price</v>
      </c>
      <c r="D58" s="4">
        <v>1567</v>
      </c>
      <c r="E58" s="4">
        <f t="shared" si="1"/>
        <v>768</v>
      </c>
      <c r="F58" s="8">
        <v>49</v>
      </c>
      <c r="G58" s="8">
        <f t="shared" si="2"/>
        <v>0.49</v>
      </c>
      <c r="H58" s="8" t="str">
        <f t="shared" si="3"/>
        <v>High</v>
      </c>
      <c r="I58" s="4" t="s">
        <v>115</v>
      </c>
      <c r="J58" s="6" t="s">
        <v>115</v>
      </c>
      <c r="K58" t="str">
        <f t="shared" si="4"/>
        <v>Excellent</v>
      </c>
    </row>
    <row r="59" spans="1:11" x14ac:dyDescent="0.35">
      <c r="A59" t="s">
        <v>62</v>
      </c>
      <c r="B59" s="4">
        <v>2799</v>
      </c>
      <c r="C59" s="4" t="str">
        <f t="shared" si="0"/>
        <v>High Price</v>
      </c>
      <c r="D59" s="4">
        <v>3810</v>
      </c>
      <c r="E59" s="4">
        <f t="shared" si="1"/>
        <v>1011</v>
      </c>
      <c r="F59" s="8">
        <v>27</v>
      </c>
      <c r="G59" s="8">
        <f t="shared" si="2"/>
        <v>0.27</v>
      </c>
      <c r="H59" s="8" t="str">
        <f t="shared" si="3"/>
        <v>Medium</v>
      </c>
      <c r="I59" s="4" t="s">
        <v>115</v>
      </c>
      <c r="J59" s="6" t="s">
        <v>115</v>
      </c>
      <c r="K59" t="str">
        <f t="shared" si="4"/>
        <v>Excellent</v>
      </c>
    </row>
    <row r="60" spans="1:11" x14ac:dyDescent="0.35">
      <c r="A60" t="s">
        <v>63</v>
      </c>
      <c r="B60" s="4">
        <v>399</v>
      </c>
      <c r="C60" s="4" t="str">
        <f t="shared" si="0"/>
        <v>Low Price</v>
      </c>
      <c r="D60" s="4">
        <v>896</v>
      </c>
      <c r="E60" s="4">
        <f t="shared" si="1"/>
        <v>497</v>
      </c>
      <c r="F60" s="8">
        <v>55</v>
      </c>
      <c r="G60" s="8">
        <f t="shared" si="2"/>
        <v>0.55000000000000004</v>
      </c>
      <c r="H60" s="8" t="str">
        <f t="shared" si="3"/>
        <v>High</v>
      </c>
      <c r="I60" s="4" t="s">
        <v>115</v>
      </c>
      <c r="J60" s="6" t="s">
        <v>115</v>
      </c>
      <c r="K60" t="str">
        <f t="shared" si="4"/>
        <v>Excellent</v>
      </c>
    </row>
    <row r="61" spans="1:11" x14ac:dyDescent="0.35">
      <c r="A61" t="s">
        <v>64</v>
      </c>
      <c r="B61" s="4">
        <v>2170</v>
      </c>
      <c r="C61" s="4" t="str">
        <f t="shared" si="0"/>
        <v>High Price</v>
      </c>
      <c r="D61" s="4">
        <v>2500</v>
      </c>
      <c r="E61" s="4">
        <f t="shared" si="1"/>
        <v>330</v>
      </c>
      <c r="F61" s="8">
        <v>13</v>
      </c>
      <c r="G61" s="8">
        <f t="shared" si="2"/>
        <v>0.13</v>
      </c>
      <c r="H61" s="8" t="str">
        <f t="shared" si="3"/>
        <v>Low</v>
      </c>
      <c r="I61" s="4">
        <v>6</v>
      </c>
      <c r="J61" s="6">
        <v>2.5</v>
      </c>
      <c r="K61" t="str">
        <f t="shared" si="4"/>
        <v>Poor</v>
      </c>
    </row>
    <row r="62" spans="1:11" x14ac:dyDescent="0.35">
      <c r="A62" t="s">
        <v>65</v>
      </c>
      <c r="B62" s="4">
        <v>458</v>
      </c>
      <c r="C62" s="4" t="str">
        <f t="shared" si="0"/>
        <v>Low Price</v>
      </c>
      <c r="D62" s="4">
        <v>986</v>
      </c>
      <c r="E62" s="4">
        <f t="shared" si="1"/>
        <v>528</v>
      </c>
      <c r="F62" s="8">
        <v>54</v>
      </c>
      <c r="G62" s="8">
        <f t="shared" si="2"/>
        <v>0.54</v>
      </c>
      <c r="H62" s="8" t="str">
        <f t="shared" si="3"/>
        <v>High</v>
      </c>
      <c r="I62" s="4">
        <v>10</v>
      </c>
      <c r="J62" s="6">
        <v>3</v>
      </c>
      <c r="K62" t="str">
        <f t="shared" si="4"/>
        <v>Average</v>
      </c>
    </row>
    <row r="63" spans="1:11" x14ac:dyDescent="0.35">
      <c r="A63" t="s">
        <v>66</v>
      </c>
      <c r="B63" s="4">
        <v>2115</v>
      </c>
      <c r="C63" s="4" t="str">
        <f t="shared" si="0"/>
        <v>High Price</v>
      </c>
      <c r="D63" s="4">
        <v>4700</v>
      </c>
      <c r="E63" s="4">
        <f t="shared" si="1"/>
        <v>2585</v>
      </c>
      <c r="F63" s="8">
        <v>55</v>
      </c>
      <c r="G63" s="8">
        <f t="shared" si="2"/>
        <v>0.55000000000000004</v>
      </c>
      <c r="H63" s="8" t="str">
        <f t="shared" si="3"/>
        <v>High</v>
      </c>
      <c r="I63" s="4">
        <v>13</v>
      </c>
      <c r="J63" s="6">
        <v>2.1</v>
      </c>
      <c r="K63" t="str">
        <f t="shared" si="4"/>
        <v>Poor</v>
      </c>
    </row>
    <row r="64" spans="1:11" x14ac:dyDescent="0.35">
      <c r="A64" t="s">
        <v>67</v>
      </c>
      <c r="B64" s="4">
        <v>445</v>
      </c>
      <c r="C64" s="4" t="str">
        <f t="shared" si="0"/>
        <v>Low Price</v>
      </c>
      <c r="D64" s="4">
        <v>873</v>
      </c>
      <c r="E64" s="4">
        <f t="shared" si="1"/>
        <v>428</v>
      </c>
      <c r="F64" s="8">
        <v>49</v>
      </c>
      <c r="G64" s="8">
        <f t="shared" si="2"/>
        <v>0.49</v>
      </c>
      <c r="H64" s="8" t="str">
        <f t="shared" si="3"/>
        <v>High</v>
      </c>
      <c r="I64" s="4">
        <v>69</v>
      </c>
      <c r="J64" s="6">
        <v>2.8</v>
      </c>
      <c r="K64" t="str">
        <f t="shared" si="4"/>
        <v>Poor</v>
      </c>
    </row>
    <row r="65" spans="1:11" x14ac:dyDescent="0.35">
      <c r="A65" t="s">
        <v>68</v>
      </c>
      <c r="B65" s="4">
        <v>325</v>
      </c>
      <c r="C65" s="4" t="str">
        <f t="shared" si="0"/>
        <v>Low Price</v>
      </c>
      <c r="D65" s="4">
        <v>680</v>
      </c>
      <c r="E65" s="4">
        <f t="shared" si="1"/>
        <v>355</v>
      </c>
      <c r="F65" s="8">
        <v>52</v>
      </c>
      <c r="G65" s="8">
        <f t="shared" si="2"/>
        <v>0.52</v>
      </c>
      <c r="H65" s="8" t="str">
        <f t="shared" si="3"/>
        <v>High</v>
      </c>
      <c r="I65" s="4">
        <v>15</v>
      </c>
      <c r="J65" s="6">
        <v>2.7</v>
      </c>
      <c r="K65" t="str">
        <f t="shared" si="4"/>
        <v>Poor</v>
      </c>
    </row>
    <row r="66" spans="1:11" x14ac:dyDescent="0.35">
      <c r="A66" t="s">
        <v>69</v>
      </c>
      <c r="B66" s="4">
        <v>1220</v>
      </c>
      <c r="C66" s="4" t="str">
        <f t="shared" si="0"/>
        <v>Medium Price</v>
      </c>
      <c r="D66" s="4">
        <v>1555</v>
      </c>
      <c r="E66" s="4">
        <f t="shared" si="1"/>
        <v>335</v>
      </c>
      <c r="F66" s="8">
        <v>22</v>
      </c>
      <c r="G66" s="8">
        <f t="shared" si="2"/>
        <v>0.22</v>
      </c>
      <c r="H66" s="8" t="str">
        <f t="shared" si="3"/>
        <v>Medium</v>
      </c>
      <c r="I66" s="4">
        <v>16</v>
      </c>
      <c r="J66" s="6">
        <v>2.9</v>
      </c>
      <c r="K66" t="str">
        <f t="shared" si="4"/>
        <v>Poor</v>
      </c>
    </row>
    <row r="67" spans="1:11" x14ac:dyDescent="0.35">
      <c r="A67" t="s">
        <v>70</v>
      </c>
      <c r="B67" s="4">
        <v>990</v>
      </c>
      <c r="C67" s="4" t="str">
        <f t="shared" ref="C67:C113" si="5">IF(B67&lt;1000,"Low Price",IF(B67&lt;=2000,"Medium Price","High Price"))</f>
        <v>Low Price</v>
      </c>
      <c r="D67" s="4">
        <v>1814</v>
      </c>
      <c r="E67" s="4">
        <f t="shared" ref="E67:E113" si="6">D67-B67</f>
        <v>824</v>
      </c>
      <c r="F67" s="8">
        <v>45</v>
      </c>
      <c r="G67" s="8">
        <f t="shared" ref="G67:G113" si="7">F67/100</f>
        <v>0.45</v>
      </c>
      <c r="H67" s="8" t="str">
        <f t="shared" ref="H67:H113" si="8">IF(G67&lt;20%,"Low",IF(G67&lt;=40%,"Medium","High"))</f>
        <v>High</v>
      </c>
      <c r="I67" s="4">
        <v>6</v>
      </c>
      <c r="J67" s="6">
        <v>2.2000000000000002</v>
      </c>
      <c r="K67" t="str">
        <f t="shared" ref="K67:K113" si="9">IF(J67&lt;3,"Poor",IF(J67&lt;4.5,"Average","Excellent"))</f>
        <v>Poor</v>
      </c>
    </row>
    <row r="68" spans="1:11" x14ac:dyDescent="0.35">
      <c r="A68" t="s">
        <v>71</v>
      </c>
      <c r="B68" s="4">
        <v>1000</v>
      </c>
      <c r="C68" s="4" t="str">
        <f t="shared" si="5"/>
        <v>Medium Price</v>
      </c>
      <c r="D68" s="4">
        <v>2000</v>
      </c>
      <c r="E68" s="4">
        <f t="shared" si="6"/>
        <v>1000</v>
      </c>
      <c r="F68" s="8">
        <v>50</v>
      </c>
      <c r="G68" s="8">
        <f t="shared" si="7"/>
        <v>0.5</v>
      </c>
      <c r="H68" s="8" t="str">
        <f t="shared" si="8"/>
        <v>High</v>
      </c>
      <c r="I68" s="4">
        <v>7</v>
      </c>
      <c r="J68" s="6">
        <v>2.2999999999999998</v>
      </c>
      <c r="K68" t="str">
        <f t="shared" si="9"/>
        <v>Poor</v>
      </c>
    </row>
    <row r="69" spans="1:11" x14ac:dyDescent="0.35">
      <c r="A69" t="s">
        <v>72</v>
      </c>
      <c r="B69" s="4">
        <v>3750</v>
      </c>
      <c r="C69" s="4" t="str">
        <f t="shared" si="5"/>
        <v>High Price</v>
      </c>
      <c r="D69" s="4">
        <v>6143</v>
      </c>
      <c r="E69" s="4">
        <f t="shared" si="6"/>
        <v>2393</v>
      </c>
      <c r="F69" s="8">
        <v>39</v>
      </c>
      <c r="G69" s="8">
        <f t="shared" si="7"/>
        <v>0.39</v>
      </c>
      <c r="H69" s="8" t="str">
        <f t="shared" si="8"/>
        <v>Medium</v>
      </c>
      <c r="I69" s="4">
        <v>5</v>
      </c>
      <c r="J69" s="6">
        <v>3</v>
      </c>
      <c r="K69" t="str">
        <f t="shared" si="9"/>
        <v>Average</v>
      </c>
    </row>
    <row r="70" spans="1:11" x14ac:dyDescent="0.35">
      <c r="A70" t="s">
        <v>73</v>
      </c>
      <c r="B70" s="4">
        <v>382</v>
      </c>
      <c r="C70" s="4" t="str">
        <f t="shared" si="5"/>
        <v>Low Price</v>
      </c>
      <c r="D70" s="4">
        <v>700</v>
      </c>
      <c r="E70" s="4">
        <f t="shared" si="6"/>
        <v>318</v>
      </c>
      <c r="F70" s="8">
        <v>45</v>
      </c>
      <c r="G70" s="8">
        <f t="shared" si="7"/>
        <v>0.45</v>
      </c>
      <c r="H70" s="8" t="str">
        <f t="shared" si="8"/>
        <v>High</v>
      </c>
      <c r="I70" s="4">
        <v>17</v>
      </c>
      <c r="J70" s="6">
        <v>2.6</v>
      </c>
      <c r="K70" t="str">
        <f t="shared" si="9"/>
        <v>Poor</v>
      </c>
    </row>
    <row r="71" spans="1:11" x14ac:dyDescent="0.35">
      <c r="A71" t="s">
        <v>74</v>
      </c>
      <c r="B71" s="4">
        <v>2300</v>
      </c>
      <c r="C71" s="4" t="str">
        <f t="shared" si="5"/>
        <v>High Price</v>
      </c>
      <c r="D71" s="4">
        <v>3240</v>
      </c>
      <c r="E71" s="4">
        <f t="shared" si="6"/>
        <v>940</v>
      </c>
      <c r="F71" s="8">
        <v>29</v>
      </c>
      <c r="G71" s="8">
        <f t="shared" si="7"/>
        <v>0.28999999999999998</v>
      </c>
      <c r="H71" s="8" t="str">
        <f t="shared" si="8"/>
        <v>Medium</v>
      </c>
      <c r="I71" s="4">
        <v>5</v>
      </c>
      <c r="J71" s="6">
        <v>3</v>
      </c>
      <c r="K71" t="str">
        <f t="shared" si="9"/>
        <v>Average</v>
      </c>
    </row>
    <row r="72" spans="1:11" x14ac:dyDescent="0.35">
      <c r="A72" t="s">
        <v>75</v>
      </c>
      <c r="B72" s="4">
        <v>345</v>
      </c>
      <c r="C72" s="4" t="str">
        <f t="shared" si="5"/>
        <v>Low Price</v>
      </c>
      <c r="D72" s="4">
        <v>602</v>
      </c>
      <c r="E72" s="4">
        <f t="shared" si="6"/>
        <v>257</v>
      </c>
      <c r="F72" s="8">
        <v>43</v>
      </c>
      <c r="G72" s="8">
        <f t="shared" si="7"/>
        <v>0.43</v>
      </c>
      <c r="H72" s="8" t="str">
        <f t="shared" si="8"/>
        <v>High</v>
      </c>
      <c r="I72" s="4">
        <v>6</v>
      </c>
      <c r="J72" s="6">
        <v>2.2999999999999998</v>
      </c>
      <c r="K72" t="str">
        <f t="shared" si="9"/>
        <v>Poor</v>
      </c>
    </row>
    <row r="73" spans="1:11" x14ac:dyDescent="0.35">
      <c r="A73" t="s">
        <v>76</v>
      </c>
      <c r="B73" s="4">
        <v>509</v>
      </c>
      <c r="C73" s="4" t="str">
        <f t="shared" si="5"/>
        <v>Low Price</v>
      </c>
      <c r="D73" s="4">
        <v>899</v>
      </c>
      <c r="E73" s="4">
        <f t="shared" si="6"/>
        <v>390</v>
      </c>
      <c r="F73" s="8">
        <v>43</v>
      </c>
      <c r="G73" s="8">
        <f t="shared" si="7"/>
        <v>0.43</v>
      </c>
      <c r="H73" s="8" t="str">
        <f t="shared" si="8"/>
        <v>High</v>
      </c>
      <c r="I73" s="4">
        <v>5</v>
      </c>
      <c r="J73" s="6">
        <v>3</v>
      </c>
      <c r="K73" t="str">
        <f t="shared" si="9"/>
        <v>Average</v>
      </c>
    </row>
    <row r="74" spans="1:11" x14ac:dyDescent="0.35">
      <c r="A74" t="s">
        <v>77</v>
      </c>
      <c r="B74" s="4">
        <v>968</v>
      </c>
      <c r="C74" s="4" t="str">
        <f t="shared" si="5"/>
        <v>Low Price</v>
      </c>
      <c r="D74" s="4">
        <v>1814</v>
      </c>
      <c r="E74" s="4">
        <f t="shared" si="6"/>
        <v>846</v>
      </c>
      <c r="F74" s="8">
        <v>47</v>
      </c>
      <c r="G74" s="8">
        <f t="shared" si="7"/>
        <v>0.47</v>
      </c>
      <c r="H74" s="8" t="str">
        <f t="shared" si="8"/>
        <v>High</v>
      </c>
      <c r="I74" s="4">
        <v>6</v>
      </c>
      <c r="J74" s="6">
        <v>2.2000000000000002</v>
      </c>
      <c r="K74" t="str">
        <f t="shared" si="9"/>
        <v>Poor</v>
      </c>
    </row>
    <row r="75" spans="1:11" x14ac:dyDescent="0.35">
      <c r="A75" t="s">
        <v>78</v>
      </c>
      <c r="B75" s="4">
        <v>1570</v>
      </c>
      <c r="C75" s="4" t="str">
        <f t="shared" si="5"/>
        <v>Medium Price</v>
      </c>
      <c r="D75" s="4">
        <v>2988</v>
      </c>
      <c r="E75" s="4">
        <f t="shared" si="6"/>
        <v>1418</v>
      </c>
      <c r="F75" s="8">
        <v>47</v>
      </c>
      <c r="G75" s="8">
        <f t="shared" si="7"/>
        <v>0.47</v>
      </c>
      <c r="H75" s="8" t="str">
        <f t="shared" si="8"/>
        <v>High</v>
      </c>
      <c r="I75" s="4">
        <v>7</v>
      </c>
      <c r="J75" s="6">
        <v>2.1</v>
      </c>
      <c r="K75" t="str">
        <f t="shared" si="9"/>
        <v>Poor</v>
      </c>
    </row>
    <row r="76" spans="1:11" x14ac:dyDescent="0.35">
      <c r="A76" t="s">
        <v>79</v>
      </c>
      <c r="B76" s="4">
        <v>790</v>
      </c>
      <c r="C76" s="4" t="str">
        <f t="shared" si="5"/>
        <v>Low Price</v>
      </c>
      <c r="D76" s="4">
        <v>1485</v>
      </c>
      <c r="E76" s="4">
        <f t="shared" si="6"/>
        <v>695</v>
      </c>
      <c r="F76" s="8">
        <v>47</v>
      </c>
      <c r="G76" s="8">
        <f t="shared" si="7"/>
        <v>0.47</v>
      </c>
      <c r="H76" s="8" t="str">
        <f t="shared" si="8"/>
        <v>High</v>
      </c>
      <c r="I76" s="4" t="s">
        <v>115</v>
      </c>
      <c r="J76" s="6" t="s">
        <v>115</v>
      </c>
      <c r="K76" t="str">
        <f t="shared" si="9"/>
        <v>Excellent</v>
      </c>
    </row>
    <row r="77" spans="1:11" x14ac:dyDescent="0.35">
      <c r="A77" t="s">
        <v>80</v>
      </c>
      <c r="B77" s="4">
        <v>690</v>
      </c>
      <c r="C77" s="4" t="str">
        <f t="shared" si="5"/>
        <v>Low Price</v>
      </c>
      <c r="D77" s="4">
        <v>1200</v>
      </c>
      <c r="E77" s="4">
        <f t="shared" si="6"/>
        <v>510</v>
      </c>
      <c r="F77" s="8">
        <v>43</v>
      </c>
      <c r="G77" s="8">
        <f t="shared" si="7"/>
        <v>0.43</v>
      </c>
      <c r="H77" s="8" t="str">
        <f t="shared" si="8"/>
        <v>High</v>
      </c>
      <c r="I77" s="4" t="s">
        <v>115</v>
      </c>
      <c r="J77" s="6" t="s">
        <v>115</v>
      </c>
      <c r="K77" t="str">
        <f t="shared" si="9"/>
        <v>Excellent</v>
      </c>
    </row>
    <row r="78" spans="1:11" x14ac:dyDescent="0.35">
      <c r="A78" t="s">
        <v>81</v>
      </c>
      <c r="B78" s="4">
        <v>1732</v>
      </c>
      <c r="C78" s="4" t="str">
        <f t="shared" si="5"/>
        <v>Medium Price</v>
      </c>
      <c r="D78" s="4">
        <v>1799</v>
      </c>
      <c r="E78" s="4">
        <f t="shared" si="6"/>
        <v>67</v>
      </c>
      <c r="F78" s="8">
        <v>4</v>
      </c>
      <c r="G78" s="8">
        <f t="shared" si="7"/>
        <v>0.04</v>
      </c>
      <c r="H78" s="8" t="str">
        <f t="shared" si="8"/>
        <v>Low</v>
      </c>
      <c r="I78" s="4" t="s">
        <v>115</v>
      </c>
      <c r="J78" s="6" t="s">
        <v>115</v>
      </c>
      <c r="K78" t="str">
        <f t="shared" si="9"/>
        <v>Excellent</v>
      </c>
    </row>
    <row r="79" spans="1:11" x14ac:dyDescent="0.35">
      <c r="A79" t="s">
        <v>82</v>
      </c>
      <c r="B79" s="4">
        <v>230</v>
      </c>
      <c r="C79" s="4" t="str">
        <f t="shared" si="5"/>
        <v>Low Price</v>
      </c>
      <c r="D79" s="4">
        <v>450</v>
      </c>
      <c r="E79" s="4">
        <f t="shared" si="6"/>
        <v>220</v>
      </c>
      <c r="F79" s="8">
        <v>49</v>
      </c>
      <c r="G79" s="8">
        <f t="shared" si="7"/>
        <v>0.49</v>
      </c>
      <c r="H79" s="8" t="str">
        <f t="shared" si="8"/>
        <v>High</v>
      </c>
      <c r="I79" s="4" t="s">
        <v>115</v>
      </c>
      <c r="J79" s="6" t="s">
        <v>115</v>
      </c>
      <c r="K79" t="str">
        <f t="shared" si="9"/>
        <v>Excellent</v>
      </c>
    </row>
    <row r="80" spans="1:11" x14ac:dyDescent="0.35">
      <c r="A80" t="s">
        <v>83</v>
      </c>
      <c r="B80" s="4">
        <v>1189</v>
      </c>
      <c r="C80" s="4" t="str">
        <f t="shared" si="5"/>
        <v>Medium Price</v>
      </c>
      <c r="D80" s="4">
        <v>2199</v>
      </c>
      <c r="E80" s="4">
        <f t="shared" si="6"/>
        <v>1010</v>
      </c>
      <c r="F80" s="8">
        <v>46</v>
      </c>
      <c r="G80" s="8">
        <f t="shared" si="7"/>
        <v>0.46</v>
      </c>
      <c r="H80" s="8" t="str">
        <f t="shared" si="8"/>
        <v>High</v>
      </c>
      <c r="I80" s="4">
        <v>1</v>
      </c>
      <c r="J80" s="6">
        <v>3</v>
      </c>
      <c r="K80" t="str">
        <f t="shared" si="9"/>
        <v>Average</v>
      </c>
    </row>
    <row r="81" spans="1:11" x14ac:dyDescent="0.35">
      <c r="A81" t="s">
        <v>84</v>
      </c>
      <c r="B81" s="4">
        <v>979</v>
      </c>
      <c r="C81" s="4" t="str">
        <f t="shared" si="5"/>
        <v>Low Price</v>
      </c>
      <c r="D81" s="4">
        <v>1920</v>
      </c>
      <c r="E81" s="4">
        <f t="shared" si="6"/>
        <v>941</v>
      </c>
      <c r="F81" s="8">
        <v>49</v>
      </c>
      <c r="G81" s="8">
        <f t="shared" si="7"/>
        <v>0.49</v>
      </c>
      <c r="H81" s="8" t="str">
        <f t="shared" si="8"/>
        <v>High</v>
      </c>
      <c r="I81" s="4">
        <v>1</v>
      </c>
      <c r="J81" s="6">
        <v>5</v>
      </c>
      <c r="K81" t="str">
        <f t="shared" si="9"/>
        <v>Excellent</v>
      </c>
    </row>
    <row r="82" spans="1:11" x14ac:dyDescent="0.35">
      <c r="A82" t="s">
        <v>85</v>
      </c>
      <c r="B82" s="4">
        <v>1460</v>
      </c>
      <c r="C82" s="4" t="str">
        <f t="shared" si="5"/>
        <v>Medium Price</v>
      </c>
      <c r="D82" s="4">
        <v>2290</v>
      </c>
      <c r="E82" s="4">
        <f t="shared" si="6"/>
        <v>830</v>
      </c>
      <c r="F82" s="8">
        <v>36</v>
      </c>
      <c r="G82" s="8">
        <f t="shared" si="7"/>
        <v>0.36</v>
      </c>
      <c r="H82" s="8" t="str">
        <f t="shared" si="8"/>
        <v>Medium</v>
      </c>
      <c r="I82" s="4" t="s">
        <v>115</v>
      </c>
      <c r="J82" s="6" t="s">
        <v>115</v>
      </c>
      <c r="K82" t="str">
        <f t="shared" si="9"/>
        <v>Excellent</v>
      </c>
    </row>
    <row r="83" spans="1:11" x14ac:dyDescent="0.35">
      <c r="A83" t="s">
        <v>86</v>
      </c>
      <c r="B83" s="4">
        <v>1666</v>
      </c>
      <c r="C83" s="4" t="str">
        <f t="shared" si="5"/>
        <v>Medium Price</v>
      </c>
      <c r="D83" s="4">
        <v>1699</v>
      </c>
      <c r="E83" s="4">
        <f t="shared" si="6"/>
        <v>33</v>
      </c>
      <c r="F83" s="8">
        <v>2</v>
      </c>
      <c r="G83" s="8">
        <f t="shared" si="7"/>
        <v>0.02</v>
      </c>
      <c r="H83" s="8" t="str">
        <f t="shared" si="8"/>
        <v>Low</v>
      </c>
      <c r="I83" s="4" t="s">
        <v>115</v>
      </c>
      <c r="J83" s="6" t="s">
        <v>115</v>
      </c>
      <c r="K83" t="str">
        <f t="shared" si="9"/>
        <v>Excellent</v>
      </c>
    </row>
    <row r="84" spans="1:11" x14ac:dyDescent="0.35">
      <c r="A84" t="s">
        <v>87</v>
      </c>
      <c r="B84" s="4">
        <v>330</v>
      </c>
      <c r="C84" s="4" t="str">
        <f t="shared" si="5"/>
        <v>Low Price</v>
      </c>
      <c r="D84" s="4">
        <v>647</v>
      </c>
      <c r="E84" s="4">
        <f t="shared" si="6"/>
        <v>317</v>
      </c>
      <c r="F84" s="8">
        <v>49</v>
      </c>
      <c r="G84" s="8">
        <f t="shared" si="7"/>
        <v>0.49</v>
      </c>
      <c r="H84" s="8" t="str">
        <f t="shared" si="8"/>
        <v>High</v>
      </c>
      <c r="I84" s="4">
        <v>1</v>
      </c>
      <c r="J84" s="6">
        <v>4</v>
      </c>
      <c r="K84" t="str">
        <f t="shared" si="9"/>
        <v>Average</v>
      </c>
    </row>
    <row r="85" spans="1:11" x14ac:dyDescent="0.35">
      <c r="A85" t="s">
        <v>88</v>
      </c>
      <c r="B85" s="4">
        <v>176</v>
      </c>
      <c r="C85" s="4" t="str">
        <f t="shared" si="5"/>
        <v>Low Price</v>
      </c>
      <c r="D85" s="4">
        <v>345</v>
      </c>
      <c r="E85" s="4">
        <f t="shared" si="6"/>
        <v>169</v>
      </c>
      <c r="F85" s="8">
        <v>49</v>
      </c>
      <c r="G85" s="8">
        <f t="shared" si="7"/>
        <v>0.49</v>
      </c>
      <c r="H85" s="8" t="str">
        <f t="shared" si="8"/>
        <v>High</v>
      </c>
      <c r="I85" s="4" t="s">
        <v>115</v>
      </c>
      <c r="J85" s="6" t="s">
        <v>115</v>
      </c>
      <c r="K85" t="str">
        <f t="shared" si="9"/>
        <v>Excellent</v>
      </c>
    </row>
    <row r="86" spans="1:11" x14ac:dyDescent="0.35">
      <c r="A86" t="s">
        <v>89</v>
      </c>
      <c r="B86" s="4">
        <v>1466</v>
      </c>
      <c r="C86" s="4" t="str">
        <f t="shared" si="5"/>
        <v>Medium Price</v>
      </c>
      <c r="D86" s="4">
        <v>1699</v>
      </c>
      <c r="E86" s="4">
        <f t="shared" si="6"/>
        <v>233</v>
      </c>
      <c r="F86" s="8">
        <v>14</v>
      </c>
      <c r="G86" s="8">
        <f t="shared" si="7"/>
        <v>0.14000000000000001</v>
      </c>
      <c r="H86" s="8" t="str">
        <f t="shared" si="8"/>
        <v>Low</v>
      </c>
      <c r="I86" s="4" t="s">
        <v>115</v>
      </c>
      <c r="J86" s="6" t="s">
        <v>115</v>
      </c>
      <c r="K86" t="str">
        <f t="shared" si="9"/>
        <v>Excellent</v>
      </c>
    </row>
    <row r="87" spans="1:11" x14ac:dyDescent="0.35">
      <c r="A87" t="s">
        <v>90</v>
      </c>
      <c r="B87" s="4">
        <v>274</v>
      </c>
      <c r="C87" s="4" t="str">
        <f t="shared" si="5"/>
        <v>Low Price</v>
      </c>
      <c r="D87" s="4">
        <v>537</v>
      </c>
      <c r="E87" s="4">
        <f t="shared" si="6"/>
        <v>263</v>
      </c>
      <c r="F87" s="8">
        <v>49</v>
      </c>
      <c r="G87" s="8">
        <f t="shared" si="7"/>
        <v>0.49</v>
      </c>
      <c r="H87" s="8" t="str">
        <f t="shared" si="8"/>
        <v>High</v>
      </c>
      <c r="I87" s="4" t="s">
        <v>115</v>
      </c>
      <c r="J87" s="6" t="s">
        <v>115</v>
      </c>
      <c r="K87" t="str">
        <f t="shared" si="9"/>
        <v>Excellent</v>
      </c>
    </row>
    <row r="88" spans="1:11" x14ac:dyDescent="0.35">
      <c r="A88" t="s">
        <v>91</v>
      </c>
      <c r="B88" s="4">
        <v>799</v>
      </c>
      <c r="C88" s="4" t="str">
        <f t="shared" si="5"/>
        <v>Low Price</v>
      </c>
      <c r="D88" s="4">
        <v>900</v>
      </c>
      <c r="E88" s="4">
        <f t="shared" si="6"/>
        <v>101</v>
      </c>
      <c r="F88" s="8">
        <v>11</v>
      </c>
      <c r="G88" s="8">
        <f t="shared" si="7"/>
        <v>0.11</v>
      </c>
      <c r="H88" s="8" t="str">
        <f t="shared" si="8"/>
        <v>Low</v>
      </c>
      <c r="I88" s="4" t="s">
        <v>115</v>
      </c>
      <c r="J88" s="6" t="s">
        <v>115</v>
      </c>
      <c r="K88" t="str">
        <f t="shared" si="9"/>
        <v>Excellent</v>
      </c>
    </row>
    <row r="89" spans="1:11" x14ac:dyDescent="0.35">
      <c r="A89" t="s">
        <v>92</v>
      </c>
      <c r="B89" s="4">
        <v>657</v>
      </c>
      <c r="C89" s="4" t="str">
        <f t="shared" si="5"/>
        <v>Low Price</v>
      </c>
      <c r="D89" s="4">
        <v>1288</v>
      </c>
      <c r="E89" s="4">
        <f t="shared" si="6"/>
        <v>631</v>
      </c>
      <c r="F89" s="8">
        <v>49</v>
      </c>
      <c r="G89" s="8">
        <f t="shared" si="7"/>
        <v>0.49</v>
      </c>
      <c r="H89" s="8" t="str">
        <f t="shared" si="8"/>
        <v>High</v>
      </c>
      <c r="I89" s="4" t="s">
        <v>115</v>
      </c>
      <c r="J89" s="6" t="s">
        <v>115</v>
      </c>
      <c r="K89" t="str">
        <f t="shared" si="9"/>
        <v>Excellent</v>
      </c>
    </row>
    <row r="90" spans="1:11" x14ac:dyDescent="0.35">
      <c r="A90" t="s">
        <v>93</v>
      </c>
      <c r="B90" s="4">
        <v>1468</v>
      </c>
      <c r="C90" s="4" t="str">
        <f t="shared" si="5"/>
        <v>Medium Price</v>
      </c>
      <c r="D90" s="4">
        <v>1699</v>
      </c>
      <c r="E90" s="4">
        <f t="shared" si="6"/>
        <v>231</v>
      </c>
      <c r="F90" s="8">
        <v>14</v>
      </c>
      <c r="G90" s="8">
        <f t="shared" si="7"/>
        <v>0.14000000000000001</v>
      </c>
      <c r="H90" s="8" t="str">
        <f t="shared" si="8"/>
        <v>Low</v>
      </c>
      <c r="I90" s="4" t="s">
        <v>115</v>
      </c>
      <c r="J90" s="6" t="s">
        <v>115</v>
      </c>
      <c r="K90" t="str">
        <f t="shared" si="9"/>
        <v>Excellent</v>
      </c>
    </row>
    <row r="91" spans="1:11" x14ac:dyDescent="0.35">
      <c r="A91" t="s">
        <v>94</v>
      </c>
      <c r="B91" s="4">
        <v>630</v>
      </c>
      <c r="C91" s="4" t="str">
        <f t="shared" si="5"/>
        <v>Low Price</v>
      </c>
      <c r="D91" s="4">
        <v>1100</v>
      </c>
      <c r="E91" s="4">
        <f t="shared" si="6"/>
        <v>470</v>
      </c>
      <c r="F91" s="8">
        <v>43</v>
      </c>
      <c r="G91" s="8">
        <f t="shared" si="7"/>
        <v>0.43</v>
      </c>
      <c r="H91" s="8" t="str">
        <f t="shared" si="8"/>
        <v>High</v>
      </c>
      <c r="I91" s="4" t="s">
        <v>115</v>
      </c>
      <c r="J91" s="6" t="s">
        <v>115</v>
      </c>
      <c r="K91" t="str">
        <f t="shared" si="9"/>
        <v>Excellent</v>
      </c>
    </row>
    <row r="92" spans="1:11" x14ac:dyDescent="0.35">
      <c r="A92" t="s">
        <v>95</v>
      </c>
      <c r="B92" s="4">
        <v>850</v>
      </c>
      <c r="C92" s="4" t="str">
        <f t="shared" si="5"/>
        <v>Low Price</v>
      </c>
      <c r="D92" s="4">
        <v>1700</v>
      </c>
      <c r="E92" s="4">
        <f t="shared" si="6"/>
        <v>850</v>
      </c>
      <c r="F92" s="8">
        <v>50</v>
      </c>
      <c r="G92" s="8">
        <f t="shared" si="7"/>
        <v>0.5</v>
      </c>
      <c r="H92" s="8" t="str">
        <f t="shared" si="8"/>
        <v>High</v>
      </c>
      <c r="I92" s="4" t="s">
        <v>115</v>
      </c>
      <c r="J92" s="6" t="s">
        <v>115</v>
      </c>
      <c r="K92" t="str">
        <f t="shared" si="9"/>
        <v>Excellent</v>
      </c>
    </row>
    <row r="93" spans="1:11" x14ac:dyDescent="0.35">
      <c r="A93" t="s">
        <v>96</v>
      </c>
      <c r="B93" s="4">
        <v>1300</v>
      </c>
      <c r="C93" s="4" t="str">
        <f t="shared" si="5"/>
        <v>Medium Price</v>
      </c>
      <c r="D93" s="4">
        <v>2500</v>
      </c>
      <c r="E93" s="4">
        <f t="shared" si="6"/>
        <v>1200</v>
      </c>
      <c r="F93" s="8">
        <v>48</v>
      </c>
      <c r="G93" s="8">
        <f t="shared" si="7"/>
        <v>0.48</v>
      </c>
      <c r="H93" s="8" t="str">
        <f t="shared" si="8"/>
        <v>High</v>
      </c>
      <c r="I93" s="4" t="s">
        <v>115</v>
      </c>
      <c r="J93" s="6" t="s">
        <v>115</v>
      </c>
      <c r="K93" t="str">
        <f t="shared" si="9"/>
        <v>Excellent</v>
      </c>
    </row>
    <row r="94" spans="1:11" x14ac:dyDescent="0.35">
      <c r="A94" t="s">
        <v>97</v>
      </c>
      <c r="B94" s="4">
        <v>105</v>
      </c>
      <c r="C94" s="4" t="str">
        <f t="shared" si="5"/>
        <v>Low Price</v>
      </c>
      <c r="D94" s="4">
        <v>200</v>
      </c>
      <c r="E94" s="4">
        <f t="shared" si="6"/>
        <v>95</v>
      </c>
      <c r="F94" s="8">
        <v>48</v>
      </c>
      <c r="G94" s="8">
        <f t="shared" si="7"/>
        <v>0.48</v>
      </c>
      <c r="H94" s="8" t="str">
        <f t="shared" si="8"/>
        <v>High</v>
      </c>
      <c r="I94" s="4" t="s">
        <v>115</v>
      </c>
      <c r="J94" s="6" t="s">
        <v>115</v>
      </c>
      <c r="K94" t="str">
        <f t="shared" si="9"/>
        <v>Excellent</v>
      </c>
    </row>
    <row r="95" spans="1:11" x14ac:dyDescent="0.35">
      <c r="A95" t="s">
        <v>98</v>
      </c>
      <c r="B95" s="4">
        <v>899</v>
      </c>
      <c r="C95" s="4" t="str">
        <f t="shared" si="5"/>
        <v>Low Price</v>
      </c>
      <c r="D95" s="4">
        <v>1699</v>
      </c>
      <c r="E95" s="4">
        <f t="shared" si="6"/>
        <v>800</v>
      </c>
      <c r="F95" s="8">
        <v>47</v>
      </c>
      <c r="G95" s="8">
        <f t="shared" si="7"/>
        <v>0.47</v>
      </c>
      <c r="H95" s="8" t="str">
        <f t="shared" si="8"/>
        <v>High</v>
      </c>
      <c r="I95" s="4" t="s">
        <v>115</v>
      </c>
      <c r="J95" s="6" t="s">
        <v>115</v>
      </c>
      <c r="K95" t="str">
        <f t="shared" si="9"/>
        <v>Excellent</v>
      </c>
    </row>
    <row r="96" spans="1:11" x14ac:dyDescent="0.35">
      <c r="A96" t="s">
        <v>99</v>
      </c>
      <c r="B96" s="4">
        <v>1200</v>
      </c>
      <c r="C96" s="4" t="str">
        <f t="shared" si="5"/>
        <v>Medium Price</v>
      </c>
      <c r="D96" s="4">
        <v>2400</v>
      </c>
      <c r="E96" s="4">
        <f t="shared" si="6"/>
        <v>1200</v>
      </c>
      <c r="F96" s="8">
        <v>50</v>
      </c>
      <c r="G96" s="8">
        <f t="shared" si="7"/>
        <v>0.5</v>
      </c>
      <c r="H96" s="8" t="str">
        <f t="shared" si="8"/>
        <v>High</v>
      </c>
      <c r="I96" s="4" t="s">
        <v>115</v>
      </c>
      <c r="J96" s="6" t="s">
        <v>115</v>
      </c>
      <c r="K96" t="str">
        <f t="shared" si="9"/>
        <v>Excellent</v>
      </c>
    </row>
    <row r="97" spans="1:11" x14ac:dyDescent="0.35">
      <c r="A97" t="s">
        <v>100</v>
      </c>
      <c r="B97" s="4">
        <v>1526</v>
      </c>
      <c r="C97" s="4" t="str">
        <f t="shared" si="5"/>
        <v>Medium Price</v>
      </c>
      <c r="D97" s="4">
        <v>1660</v>
      </c>
      <c r="E97" s="4">
        <f t="shared" si="6"/>
        <v>134</v>
      </c>
      <c r="F97" s="8">
        <v>8</v>
      </c>
      <c r="G97" s="8">
        <f t="shared" si="7"/>
        <v>0.08</v>
      </c>
      <c r="H97" s="8" t="str">
        <f t="shared" si="8"/>
        <v>Low</v>
      </c>
      <c r="I97" s="4" t="s">
        <v>115</v>
      </c>
      <c r="J97" s="6" t="s">
        <v>115</v>
      </c>
      <c r="K97" t="str">
        <f t="shared" si="9"/>
        <v>Excellent</v>
      </c>
    </row>
    <row r="98" spans="1:11" x14ac:dyDescent="0.35">
      <c r="A98" t="s">
        <v>101</v>
      </c>
      <c r="B98" s="4">
        <v>1462</v>
      </c>
      <c r="C98" s="4" t="str">
        <f t="shared" si="5"/>
        <v>Medium Price</v>
      </c>
      <c r="D98" s="4">
        <v>1499</v>
      </c>
      <c r="E98" s="4">
        <f t="shared" si="6"/>
        <v>37</v>
      </c>
      <c r="F98" s="8">
        <v>2</v>
      </c>
      <c r="G98" s="8">
        <f t="shared" si="7"/>
        <v>0.02</v>
      </c>
      <c r="H98" s="8" t="str">
        <f t="shared" si="8"/>
        <v>Low</v>
      </c>
      <c r="I98" s="4" t="s">
        <v>115</v>
      </c>
      <c r="J98" s="6" t="s">
        <v>115</v>
      </c>
      <c r="K98" t="str">
        <f t="shared" si="9"/>
        <v>Excellent</v>
      </c>
    </row>
    <row r="99" spans="1:11" x14ac:dyDescent="0.35">
      <c r="A99" t="s">
        <v>102</v>
      </c>
      <c r="B99" s="4">
        <v>248</v>
      </c>
      <c r="C99" s="4" t="str">
        <f t="shared" si="5"/>
        <v>Low Price</v>
      </c>
      <c r="D99" s="4">
        <v>486</v>
      </c>
      <c r="E99" s="4">
        <f t="shared" si="6"/>
        <v>238</v>
      </c>
      <c r="F99" s="8">
        <v>49</v>
      </c>
      <c r="G99" s="8">
        <f t="shared" si="7"/>
        <v>0.49</v>
      </c>
      <c r="H99" s="8" t="str">
        <f t="shared" si="8"/>
        <v>High</v>
      </c>
      <c r="I99" s="4" t="s">
        <v>115</v>
      </c>
      <c r="J99" s="6" t="s">
        <v>115</v>
      </c>
      <c r="K99" t="str">
        <f t="shared" si="9"/>
        <v>Excellent</v>
      </c>
    </row>
    <row r="100" spans="1:11" x14ac:dyDescent="0.35">
      <c r="A100" t="s">
        <v>103</v>
      </c>
      <c r="B100" s="4">
        <v>3546</v>
      </c>
      <c r="C100" s="4" t="str">
        <f t="shared" si="5"/>
        <v>High Price</v>
      </c>
      <c r="D100" s="4">
        <v>3699</v>
      </c>
      <c r="E100" s="4">
        <f t="shared" si="6"/>
        <v>153</v>
      </c>
      <c r="F100" s="8">
        <v>4</v>
      </c>
      <c r="G100" s="8">
        <f t="shared" si="7"/>
        <v>0.04</v>
      </c>
      <c r="H100" s="8" t="str">
        <f t="shared" si="8"/>
        <v>Low</v>
      </c>
      <c r="I100" s="4" t="s">
        <v>115</v>
      </c>
      <c r="J100" s="6" t="s">
        <v>115</v>
      </c>
      <c r="K100" t="str">
        <f t="shared" si="9"/>
        <v>Excellent</v>
      </c>
    </row>
    <row r="101" spans="1:11" x14ac:dyDescent="0.35">
      <c r="A101" t="s">
        <v>104</v>
      </c>
      <c r="B101" s="4">
        <v>525</v>
      </c>
      <c r="C101" s="4" t="str">
        <f t="shared" si="5"/>
        <v>Low Price</v>
      </c>
      <c r="D101" s="4">
        <v>1029</v>
      </c>
      <c r="E101" s="4">
        <f t="shared" si="6"/>
        <v>504</v>
      </c>
      <c r="F101" s="8">
        <v>49</v>
      </c>
      <c r="G101" s="8">
        <f t="shared" si="7"/>
        <v>0.49</v>
      </c>
      <c r="H101" s="8" t="str">
        <f t="shared" si="8"/>
        <v>High</v>
      </c>
      <c r="I101" s="4" t="s">
        <v>115</v>
      </c>
      <c r="J101" s="6" t="s">
        <v>115</v>
      </c>
      <c r="K101" t="str">
        <f t="shared" si="9"/>
        <v>Excellent</v>
      </c>
    </row>
    <row r="102" spans="1:11" x14ac:dyDescent="0.35">
      <c r="A102" t="s">
        <v>105</v>
      </c>
      <c r="B102" s="4">
        <v>1080</v>
      </c>
      <c r="C102" s="4" t="str">
        <f t="shared" si="5"/>
        <v>Medium Price</v>
      </c>
      <c r="D102" s="4">
        <v>1874</v>
      </c>
      <c r="E102" s="4">
        <f t="shared" si="6"/>
        <v>794</v>
      </c>
      <c r="F102" s="8">
        <v>42</v>
      </c>
      <c r="G102" s="8">
        <f t="shared" si="7"/>
        <v>0.42</v>
      </c>
      <c r="H102" s="8" t="str">
        <f t="shared" si="8"/>
        <v>High</v>
      </c>
      <c r="I102" s="4" t="s">
        <v>115</v>
      </c>
      <c r="J102" s="6" t="s">
        <v>115</v>
      </c>
      <c r="K102" t="str">
        <f t="shared" si="9"/>
        <v>Excellent</v>
      </c>
    </row>
    <row r="103" spans="1:11" x14ac:dyDescent="0.35">
      <c r="A103" t="s">
        <v>106</v>
      </c>
      <c r="B103" s="4">
        <v>3640</v>
      </c>
      <c r="C103" s="4" t="str">
        <f t="shared" si="5"/>
        <v>High Price</v>
      </c>
      <c r="D103" s="4">
        <v>4588</v>
      </c>
      <c r="E103" s="4">
        <f t="shared" si="6"/>
        <v>948</v>
      </c>
      <c r="F103" s="8">
        <v>21</v>
      </c>
      <c r="G103" s="8">
        <f t="shared" si="7"/>
        <v>0.21</v>
      </c>
      <c r="H103" s="8" t="str">
        <f t="shared" si="8"/>
        <v>Medium</v>
      </c>
      <c r="I103" s="4">
        <v>1</v>
      </c>
      <c r="J103" s="6">
        <v>5</v>
      </c>
      <c r="K103" t="str">
        <f t="shared" si="9"/>
        <v>Excellent</v>
      </c>
    </row>
    <row r="104" spans="1:11" x14ac:dyDescent="0.35">
      <c r="A104" t="s">
        <v>107</v>
      </c>
      <c r="B104" s="4">
        <v>1420</v>
      </c>
      <c r="C104" s="4" t="str">
        <f t="shared" si="5"/>
        <v>Medium Price</v>
      </c>
      <c r="D104" s="4">
        <v>2420</v>
      </c>
      <c r="E104" s="4">
        <f t="shared" si="6"/>
        <v>1000</v>
      </c>
      <c r="F104" s="8">
        <v>41</v>
      </c>
      <c r="G104" s="8">
        <f t="shared" si="7"/>
        <v>0.41</v>
      </c>
      <c r="H104" s="8" t="str">
        <f t="shared" si="8"/>
        <v>High</v>
      </c>
      <c r="I104" s="4" t="s">
        <v>115</v>
      </c>
      <c r="J104" s="6" t="s">
        <v>115</v>
      </c>
      <c r="K104" t="str">
        <f t="shared" si="9"/>
        <v>Excellent</v>
      </c>
    </row>
    <row r="105" spans="1:11" x14ac:dyDescent="0.35">
      <c r="A105" t="s">
        <v>108</v>
      </c>
      <c r="B105" s="4">
        <v>1875</v>
      </c>
      <c r="C105" s="4" t="str">
        <f t="shared" si="5"/>
        <v>Medium Price</v>
      </c>
      <c r="D105" s="4">
        <v>1899</v>
      </c>
      <c r="E105" s="4">
        <f t="shared" si="6"/>
        <v>24</v>
      </c>
      <c r="F105" s="8">
        <v>1</v>
      </c>
      <c r="G105" s="8">
        <f t="shared" si="7"/>
        <v>0.01</v>
      </c>
      <c r="H105" s="8" t="str">
        <f t="shared" si="8"/>
        <v>Low</v>
      </c>
      <c r="I105" s="4" t="s">
        <v>115</v>
      </c>
      <c r="J105" s="6" t="s">
        <v>115</v>
      </c>
      <c r="K105" t="str">
        <f t="shared" si="9"/>
        <v>Excellent</v>
      </c>
    </row>
    <row r="106" spans="1:11" x14ac:dyDescent="0.35">
      <c r="A106" t="s">
        <v>109</v>
      </c>
      <c r="B106" s="4">
        <v>198</v>
      </c>
      <c r="C106" s="4" t="str">
        <f t="shared" si="5"/>
        <v>Low Price</v>
      </c>
      <c r="D106" s="4">
        <v>260</v>
      </c>
      <c r="E106" s="4">
        <f t="shared" si="6"/>
        <v>62</v>
      </c>
      <c r="F106" s="8">
        <v>24</v>
      </c>
      <c r="G106" s="8">
        <f t="shared" si="7"/>
        <v>0.24</v>
      </c>
      <c r="H106" s="8" t="str">
        <f t="shared" si="8"/>
        <v>Medium</v>
      </c>
      <c r="I106" s="4" t="s">
        <v>115</v>
      </c>
      <c r="J106" s="6" t="s">
        <v>115</v>
      </c>
      <c r="K106" t="str">
        <f t="shared" si="9"/>
        <v>Excellent</v>
      </c>
    </row>
    <row r="107" spans="1:11" x14ac:dyDescent="0.35">
      <c r="A107" t="s">
        <v>110</v>
      </c>
      <c r="B107" s="4">
        <v>1150</v>
      </c>
      <c r="C107" s="4" t="str">
        <f t="shared" si="5"/>
        <v>Medium Price</v>
      </c>
      <c r="D107" s="4">
        <v>1737</v>
      </c>
      <c r="E107" s="4">
        <f t="shared" si="6"/>
        <v>587</v>
      </c>
      <c r="F107" s="8">
        <v>34</v>
      </c>
      <c r="G107" s="8">
        <f t="shared" si="7"/>
        <v>0.34</v>
      </c>
      <c r="H107" s="8" t="str">
        <f t="shared" si="8"/>
        <v>Medium</v>
      </c>
      <c r="I107" s="4" t="s">
        <v>115</v>
      </c>
      <c r="J107" s="6" t="s">
        <v>115</v>
      </c>
      <c r="K107" t="str">
        <f t="shared" si="9"/>
        <v>Excellent</v>
      </c>
    </row>
    <row r="108" spans="1:11" x14ac:dyDescent="0.35">
      <c r="A108" t="s">
        <v>111</v>
      </c>
      <c r="B108" s="4">
        <v>1190</v>
      </c>
      <c r="C108" s="4" t="str">
        <f t="shared" si="5"/>
        <v>Medium Price</v>
      </c>
      <c r="D108" s="4">
        <v>1810</v>
      </c>
      <c r="E108" s="4">
        <f t="shared" si="6"/>
        <v>620</v>
      </c>
      <c r="F108" s="8">
        <v>34</v>
      </c>
      <c r="G108" s="8">
        <f t="shared" si="7"/>
        <v>0.34</v>
      </c>
      <c r="H108" s="8" t="str">
        <f t="shared" si="8"/>
        <v>Medium</v>
      </c>
      <c r="I108" s="4" t="s">
        <v>115</v>
      </c>
      <c r="J108" s="6" t="s">
        <v>115</v>
      </c>
      <c r="K108" t="str">
        <f t="shared" si="9"/>
        <v>Excellent</v>
      </c>
    </row>
    <row r="109" spans="1:11" x14ac:dyDescent="0.35">
      <c r="A109" t="s">
        <v>112</v>
      </c>
      <c r="B109" s="4">
        <v>1658</v>
      </c>
      <c r="C109" s="4" t="str">
        <f t="shared" si="5"/>
        <v>Medium Price</v>
      </c>
      <c r="D109" s="4">
        <v>1699</v>
      </c>
      <c r="E109" s="4">
        <f t="shared" si="6"/>
        <v>41</v>
      </c>
      <c r="F109" s="8">
        <v>2</v>
      </c>
      <c r="G109" s="8">
        <f t="shared" si="7"/>
        <v>0.02</v>
      </c>
      <c r="H109" s="8" t="str">
        <f t="shared" si="8"/>
        <v>Low</v>
      </c>
      <c r="I109" s="4" t="s">
        <v>115</v>
      </c>
      <c r="J109" s="6" t="s">
        <v>115</v>
      </c>
      <c r="K109" t="str">
        <f t="shared" si="9"/>
        <v>Excellent</v>
      </c>
    </row>
    <row r="110" spans="1:11" x14ac:dyDescent="0.35">
      <c r="A110" t="s">
        <v>113</v>
      </c>
      <c r="B110" s="4">
        <v>1768</v>
      </c>
      <c r="C110" s="4" t="str">
        <f t="shared" si="5"/>
        <v>Medium Price</v>
      </c>
      <c r="D110" s="4">
        <v>1799</v>
      </c>
      <c r="E110" s="4">
        <f t="shared" si="6"/>
        <v>31</v>
      </c>
      <c r="F110" s="8">
        <v>2</v>
      </c>
      <c r="G110" s="8">
        <f t="shared" si="7"/>
        <v>0.02</v>
      </c>
      <c r="H110" s="8" t="str">
        <f t="shared" si="8"/>
        <v>Low</v>
      </c>
      <c r="I110" s="4" t="s">
        <v>115</v>
      </c>
      <c r="J110" s="6" t="s">
        <v>115</v>
      </c>
      <c r="K110" t="str">
        <f t="shared" si="9"/>
        <v>Excellent</v>
      </c>
    </row>
    <row r="111" spans="1:11" x14ac:dyDescent="0.35">
      <c r="B111" s="4">
        <v>199</v>
      </c>
      <c r="C111" s="4" t="str">
        <f t="shared" si="5"/>
        <v>Low Price</v>
      </c>
      <c r="D111" s="4">
        <v>553</v>
      </c>
      <c r="E111" s="4">
        <f t="shared" si="6"/>
        <v>354</v>
      </c>
      <c r="F111" s="8">
        <v>64</v>
      </c>
      <c r="G111" s="8">
        <f t="shared" si="7"/>
        <v>0.64</v>
      </c>
      <c r="H111" s="8" t="str">
        <f t="shared" si="8"/>
        <v>High</v>
      </c>
      <c r="I111" s="4" t="s">
        <v>115</v>
      </c>
      <c r="J111" s="6" t="s">
        <v>115</v>
      </c>
      <c r="K111" t="str">
        <f t="shared" si="9"/>
        <v>Excellent</v>
      </c>
    </row>
    <row r="112" spans="1:11" x14ac:dyDescent="0.35">
      <c r="B112" s="4">
        <v>450</v>
      </c>
      <c r="C112" s="4" t="str">
        <f t="shared" si="5"/>
        <v>Low Price</v>
      </c>
      <c r="D112" s="4">
        <v>900</v>
      </c>
      <c r="E112" s="4">
        <f t="shared" si="6"/>
        <v>450</v>
      </c>
      <c r="F112" s="8">
        <v>50</v>
      </c>
      <c r="G112" s="8">
        <f t="shared" si="7"/>
        <v>0.5</v>
      </c>
      <c r="H112" s="8" t="str">
        <f t="shared" si="8"/>
        <v>High</v>
      </c>
      <c r="I112" s="4">
        <v>1</v>
      </c>
      <c r="J112" s="6">
        <v>2</v>
      </c>
      <c r="K112" t="str">
        <f t="shared" si="9"/>
        <v>Poor</v>
      </c>
    </row>
    <row r="113" spans="2:11" x14ac:dyDescent="0.35">
      <c r="B113" s="4">
        <v>169</v>
      </c>
      <c r="C113" s="4" t="str">
        <f t="shared" si="5"/>
        <v>Low Price</v>
      </c>
      <c r="D113" s="4">
        <v>320</v>
      </c>
      <c r="E113" s="4">
        <f t="shared" si="6"/>
        <v>151</v>
      </c>
      <c r="F113" s="8">
        <v>47</v>
      </c>
      <c r="G113" s="8">
        <f t="shared" si="7"/>
        <v>0.47</v>
      </c>
      <c r="H113" s="8" t="str">
        <f t="shared" si="8"/>
        <v>High</v>
      </c>
      <c r="I113" s="4" t="s">
        <v>115</v>
      </c>
      <c r="J113" s="6" t="s">
        <v>115</v>
      </c>
      <c r="K113" t="str">
        <f t="shared" si="9"/>
        <v>Excellent</v>
      </c>
    </row>
  </sheetData>
  <conditionalFormatting sqref="B1:C1048576">
    <cfRule type="top10" dxfId="3" priority="4" bottom="1" rank="1"/>
    <cfRule type="top10" dxfId="2" priority="5" rank="1"/>
  </conditionalFormatting>
  <conditionalFormatting sqref="E1:E1048576">
    <cfRule type="top10" dxfId="1" priority="2" rank="10"/>
  </conditionalFormatting>
  <conditionalFormatting sqref="J1:J1048576">
    <cfRule type="top10" dxfId="0" priority="1" bottom="1" rank="10"/>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D2ED0-14D8-45DF-B3EF-5CC4B0393C9E}">
  <dimension ref="A3:B11"/>
  <sheetViews>
    <sheetView workbookViewId="0">
      <selection activeCell="A3" sqref="A3"/>
    </sheetView>
  </sheetViews>
  <sheetFormatPr defaultRowHeight="14.5" x14ac:dyDescent="0.35"/>
  <cols>
    <col min="1" max="1" width="55.7265625" bestFit="1" customWidth="1"/>
    <col min="2" max="2" width="13.08984375" bestFit="1" customWidth="1"/>
  </cols>
  <sheetData>
    <row r="3" spans="1:2" x14ac:dyDescent="0.35">
      <c r="A3" s="9" t="s">
        <v>120</v>
      </c>
      <c r="B3" t="s">
        <v>134</v>
      </c>
    </row>
    <row r="4" spans="1:2" x14ac:dyDescent="0.35">
      <c r="A4" s="10" t="s">
        <v>14</v>
      </c>
      <c r="B4">
        <v>5</v>
      </c>
    </row>
    <row r="5" spans="1:2" x14ac:dyDescent="0.35">
      <c r="A5" s="10" t="s">
        <v>76</v>
      </c>
      <c r="B5">
        <v>5</v>
      </c>
    </row>
    <row r="6" spans="1:2" x14ac:dyDescent="0.35">
      <c r="A6" s="10" t="s">
        <v>72</v>
      </c>
      <c r="B6">
        <v>5</v>
      </c>
    </row>
    <row r="7" spans="1:2" x14ac:dyDescent="0.35">
      <c r="A7" s="10" t="s">
        <v>13</v>
      </c>
      <c r="B7">
        <v>5</v>
      </c>
    </row>
    <row r="8" spans="1:2" x14ac:dyDescent="0.35">
      <c r="A8" s="10" t="s">
        <v>23</v>
      </c>
      <c r="B8">
        <v>5</v>
      </c>
    </row>
    <row r="9" spans="1:2" x14ac:dyDescent="0.35">
      <c r="A9" s="10" t="s">
        <v>9</v>
      </c>
      <c r="B9">
        <v>5</v>
      </c>
    </row>
    <row r="10" spans="1:2" x14ac:dyDescent="0.35">
      <c r="A10" s="10" t="s">
        <v>74</v>
      </c>
      <c r="B10">
        <v>5</v>
      </c>
    </row>
    <row r="11" spans="1:2" x14ac:dyDescent="0.35">
      <c r="A11" s="10" t="s">
        <v>121</v>
      </c>
      <c r="B11">
        <v>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4BCA7-CDD1-4B71-BA82-3F27FE379E5D}">
  <dimension ref="A3:B14"/>
  <sheetViews>
    <sheetView workbookViewId="0">
      <selection activeCell="A3" sqref="A3"/>
    </sheetView>
  </sheetViews>
  <sheetFormatPr defaultRowHeight="14.5" x14ac:dyDescent="0.35"/>
  <cols>
    <col min="1" max="1" width="65.7265625" bestFit="1" customWidth="1"/>
    <col min="2" max="2" width="22" bestFit="1" customWidth="1"/>
  </cols>
  <sheetData>
    <row r="3" spans="1:2" x14ac:dyDescent="0.35">
      <c r="A3" s="9" t="s">
        <v>120</v>
      </c>
      <c r="B3" t="s">
        <v>133</v>
      </c>
    </row>
    <row r="4" spans="1:2" x14ac:dyDescent="0.35">
      <c r="A4" s="10" t="s">
        <v>43</v>
      </c>
      <c r="B4" s="4">
        <v>1400</v>
      </c>
    </row>
    <row r="5" spans="1:2" x14ac:dyDescent="0.35">
      <c r="A5" s="10" t="s">
        <v>66</v>
      </c>
      <c r="B5" s="4">
        <v>2585</v>
      </c>
    </row>
    <row r="6" spans="1:2" x14ac:dyDescent="0.35">
      <c r="A6" s="10" t="s">
        <v>78</v>
      </c>
      <c r="B6" s="4">
        <v>1418</v>
      </c>
    </row>
    <row r="7" spans="1:2" x14ac:dyDescent="0.35">
      <c r="A7" s="10" t="s">
        <v>72</v>
      </c>
      <c r="B7" s="4">
        <v>2393</v>
      </c>
    </row>
    <row r="8" spans="1:2" x14ac:dyDescent="0.35">
      <c r="A8" s="10" t="s">
        <v>29</v>
      </c>
      <c r="B8" s="4">
        <v>2452</v>
      </c>
    </row>
    <row r="9" spans="1:2" x14ac:dyDescent="0.35">
      <c r="A9" s="10" t="s">
        <v>22</v>
      </c>
      <c r="B9" s="4">
        <v>1946</v>
      </c>
    </row>
    <row r="10" spans="1:2" x14ac:dyDescent="0.35">
      <c r="A10" s="10" t="s">
        <v>13</v>
      </c>
      <c r="B10" s="4">
        <v>1526</v>
      </c>
    </row>
    <row r="11" spans="1:2" x14ac:dyDescent="0.35">
      <c r="A11" s="10" t="s">
        <v>44</v>
      </c>
      <c r="B11" s="4">
        <v>1721</v>
      </c>
    </row>
    <row r="12" spans="1:2" x14ac:dyDescent="0.35">
      <c r="A12" s="10" t="s">
        <v>37</v>
      </c>
      <c r="B12" s="4">
        <v>1670</v>
      </c>
    </row>
    <row r="13" spans="1:2" x14ac:dyDescent="0.35">
      <c r="A13" s="10" t="s">
        <v>34</v>
      </c>
      <c r="B13" s="4">
        <v>1880</v>
      </c>
    </row>
    <row r="14" spans="1:2" x14ac:dyDescent="0.35">
      <c r="A14" s="10" t="s">
        <v>121</v>
      </c>
      <c r="B14" s="4">
        <v>18991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4A3A3-4D2A-4ACD-A138-6A94B52F6849}">
  <dimension ref="A3:B11"/>
  <sheetViews>
    <sheetView workbookViewId="0">
      <selection activeCell="A4" sqref="A4"/>
    </sheetView>
  </sheetViews>
  <sheetFormatPr defaultRowHeight="14.5" x14ac:dyDescent="0.35"/>
  <cols>
    <col min="1" max="1" width="89.1796875" bestFit="1" customWidth="1"/>
    <col min="2" max="2" width="16.6328125" bestFit="1" customWidth="1"/>
  </cols>
  <sheetData>
    <row r="3" spans="1:2" x14ac:dyDescent="0.35">
      <c r="A3" s="9" t="s">
        <v>120</v>
      </c>
      <c r="B3" t="s">
        <v>125</v>
      </c>
    </row>
    <row r="4" spans="1:2" x14ac:dyDescent="0.35">
      <c r="A4" s="10" t="s">
        <v>106</v>
      </c>
      <c r="B4" s="6">
        <v>5</v>
      </c>
    </row>
    <row r="5" spans="1:2" x14ac:dyDescent="0.35">
      <c r="A5" s="10" t="s">
        <v>84</v>
      </c>
      <c r="B5" s="6">
        <v>5</v>
      </c>
    </row>
    <row r="6" spans="1:2" x14ac:dyDescent="0.35">
      <c r="A6" s="10" t="s">
        <v>20</v>
      </c>
      <c r="B6" s="6">
        <v>5</v>
      </c>
    </row>
    <row r="7" spans="1:2" x14ac:dyDescent="0.35">
      <c r="A7" s="10" t="s">
        <v>41</v>
      </c>
      <c r="B7" s="6">
        <v>5</v>
      </c>
    </row>
    <row r="8" spans="1:2" x14ac:dyDescent="0.35">
      <c r="A8" s="10" t="s">
        <v>40</v>
      </c>
      <c r="B8" s="6">
        <v>5</v>
      </c>
    </row>
    <row r="9" spans="1:2" x14ac:dyDescent="0.35">
      <c r="A9" s="10" t="s">
        <v>22</v>
      </c>
      <c r="B9" s="6">
        <v>5</v>
      </c>
    </row>
    <row r="10" spans="1:2" x14ac:dyDescent="0.35">
      <c r="A10" s="10" t="s">
        <v>21</v>
      </c>
      <c r="B10" s="6">
        <v>5</v>
      </c>
    </row>
    <row r="11" spans="1:2" x14ac:dyDescent="0.35">
      <c r="A11" s="10" t="s">
        <v>121</v>
      </c>
      <c r="B11" s="6">
        <v>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6420B-5834-44FC-825C-7CCD55360607}">
  <dimension ref="A3:B9"/>
  <sheetViews>
    <sheetView workbookViewId="0">
      <selection activeCell="A5" sqref="A5"/>
    </sheetView>
  </sheetViews>
  <sheetFormatPr defaultRowHeight="14.5" x14ac:dyDescent="0.35"/>
  <cols>
    <col min="1" max="1" width="67.08984375" bestFit="1" customWidth="1"/>
    <col min="2" max="2" width="16.6328125" bestFit="1" customWidth="1"/>
  </cols>
  <sheetData>
    <row r="3" spans="1:2" x14ac:dyDescent="0.35">
      <c r="A3" s="9" t="s">
        <v>120</v>
      </c>
      <c r="B3" t="s">
        <v>125</v>
      </c>
    </row>
    <row r="4" spans="1:2" x14ac:dyDescent="0.35">
      <c r="A4" s="10" t="s">
        <v>77</v>
      </c>
      <c r="B4">
        <v>2.2000000000000002</v>
      </c>
    </row>
    <row r="5" spans="1:2" x14ac:dyDescent="0.35">
      <c r="A5" s="10" t="s">
        <v>70</v>
      </c>
      <c r="B5">
        <v>2.2000000000000002</v>
      </c>
    </row>
    <row r="6" spans="1:2" x14ac:dyDescent="0.35">
      <c r="A6" s="10" t="s">
        <v>66</v>
      </c>
      <c r="B6">
        <v>2.1</v>
      </c>
    </row>
    <row r="7" spans="1:2" x14ac:dyDescent="0.35">
      <c r="A7" s="10" t="s">
        <v>78</v>
      </c>
      <c r="B7">
        <v>2.1</v>
      </c>
    </row>
    <row r="8" spans="1:2" x14ac:dyDescent="0.35">
      <c r="A8" s="10" t="s">
        <v>135</v>
      </c>
      <c r="B8">
        <v>2</v>
      </c>
    </row>
    <row r="9" spans="1:2" x14ac:dyDescent="0.35">
      <c r="A9" s="10" t="s">
        <v>121</v>
      </c>
      <c r="B9">
        <v>2.12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79497-EAB1-49DB-A4E1-A5A7678F86B2}">
  <dimension ref="A3:C7"/>
  <sheetViews>
    <sheetView workbookViewId="0">
      <selection activeCell="H20" sqref="H20"/>
    </sheetView>
  </sheetViews>
  <sheetFormatPr defaultRowHeight="14.5" x14ac:dyDescent="0.35"/>
  <cols>
    <col min="1" max="1" width="12.36328125" bestFit="1" customWidth="1"/>
    <col min="2" max="2" width="16.6328125" bestFit="1" customWidth="1"/>
    <col min="3" max="3" width="14.54296875" bestFit="1" customWidth="1"/>
  </cols>
  <sheetData>
    <row r="3" spans="1:3" x14ac:dyDescent="0.35">
      <c r="A3" s="9" t="s">
        <v>120</v>
      </c>
      <c r="B3" t="s">
        <v>125</v>
      </c>
      <c r="C3" t="s">
        <v>136</v>
      </c>
    </row>
    <row r="4" spans="1:3" x14ac:dyDescent="0.35">
      <c r="A4" s="10" t="s">
        <v>126</v>
      </c>
      <c r="B4">
        <v>3.6133333333333324</v>
      </c>
      <c r="C4">
        <v>62</v>
      </c>
    </row>
    <row r="5" spans="1:3" x14ac:dyDescent="0.35">
      <c r="A5" s="10" t="s">
        <v>127</v>
      </c>
      <c r="B5">
        <v>3.7249999999999996</v>
      </c>
      <c r="C5">
        <v>18</v>
      </c>
    </row>
    <row r="6" spans="1:3" x14ac:dyDescent="0.35">
      <c r="A6" s="10" t="s">
        <v>128</v>
      </c>
      <c r="B6">
        <v>4.2782608695652184</v>
      </c>
      <c r="C6">
        <v>32</v>
      </c>
    </row>
    <row r="7" spans="1:3" x14ac:dyDescent="0.35">
      <c r="A7" s="10" t="s">
        <v>121</v>
      </c>
      <c r="B7">
        <v>3.8894736842105253</v>
      </c>
      <c r="C7">
        <v>112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00A1B-FF59-40E1-AD5F-3EC3F5101899}">
  <dimension ref="A1"/>
  <sheetViews>
    <sheetView zoomScale="86" workbookViewId="0">
      <selection activeCell="Q11" sqref="Q11"/>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18446-7700-44EA-A801-E26AE00F6F4B}">
  <dimension ref="A1:V21"/>
  <sheetViews>
    <sheetView topLeftCell="E1" zoomScale="88" zoomScaleNormal="88" workbookViewId="0">
      <selection activeCell="N18" sqref="N18"/>
    </sheetView>
  </sheetViews>
  <sheetFormatPr defaultRowHeight="14.5" x14ac:dyDescent="0.35"/>
  <cols>
    <col min="1" max="1" width="21.453125" bestFit="1" customWidth="1"/>
    <col min="2" max="2" width="16.6328125" bestFit="1" customWidth="1"/>
    <col min="3" max="4" width="22.90625" bestFit="1" customWidth="1"/>
    <col min="7" max="7" width="12.7265625" bestFit="1" customWidth="1"/>
    <col min="8" max="8" width="15.26953125" bestFit="1" customWidth="1"/>
    <col min="14" max="14" width="12.7265625" bestFit="1" customWidth="1"/>
    <col min="15" max="15" width="15.26953125" bestFit="1" customWidth="1"/>
    <col min="21" max="21" width="12.7265625" bestFit="1" customWidth="1"/>
    <col min="22" max="22" width="15.26953125" bestFit="1" customWidth="1"/>
  </cols>
  <sheetData>
    <row r="1" spans="1:22" x14ac:dyDescent="0.35">
      <c r="A1" t="s">
        <v>122</v>
      </c>
      <c r="D1" t="s">
        <v>124</v>
      </c>
      <c r="G1" s="9" t="s">
        <v>120</v>
      </c>
      <c r="H1" t="s">
        <v>132</v>
      </c>
    </row>
    <row r="2" spans="1:22" x14ac:dyDescent="0.35">
      <c r="A2" s="4">
        <v>1186.8928571428571</v>
      </c>
      <c r="D2" s="1">
        <v>0.36776785714285715</v>
      </c>
      <c r="G2" s="10" t="s">
        <v>129</v>
      </c>
      <c r="H2">
        <v>22</v>
      </c>
      <c r="U2" s="9" t="s">
        <v>120</v>
      </c>
      <c r="V2" t="s">
        <v>132</v>
      </c>
    </row>
    <row r="3" spans="1:22" x14ac:dyDescent="0.35">
      <c r="G3" s="10" t="s">
        <v>130</v>
      </c>
      <c r="H3">
        <v>76</v>
      </c>
      <c r="U3" s="10" t="s">
        <v>126</v>
      </c>
      <c r="V3">
        <v>59</v>
      </c>
    </row>
    <row r="4" spans="1:22" x14ac:dyDescent="0.35">
      <c r="G4" s="10" t="s">
        <v>131</v>
      </c>
      <c r="H4">
        <v>11</v>
      </c>
      <c r="U4" s="10" t="s">
        <v>127</v>
      </c>
      <c r="V4">
        <v>18</v>
      </c>
    </row>
    <row r="5" spans="1:22" x14ac:dyDescent="0.35">
      <c r="G5" s="10" t="s">
        <v>121</v>
      </c>
      <c r="H5">
        <v>109</v>
      </c>
      <c r="U5" s="10" t="s">
        <v>128</v>
      </c>
      <c r="V5">
        <v>32</v>
      </c>
    </row>
    <row r="6" spans="1:22" x14ac:dyDescent="0.35">
      <c r="U6" s="10" t="s">
        <v>121</v>
      </c>
      <c r="V6">
        <v>109</v>
      </c>
    </row>
    <row r="9" spans="1:22" x14ac:dyDescent="0.35">
      <c r="A9" t="s">
        <v>123</v>
      </c>
      <c r="D9" t="s">
        <v>125</v>
      </c>
    </row>
    <row r="10" spans="1:22" x14ac:dyDescent="0.35">
      <c r="A10" s="4">
        <v>1815.5714285714287</v>
      </c>
      <c r="D10" s="12">
        <v>3.8894736842105258</v>
      </c>
    </row>
    <row r="12" spans="1:22" x14ac:dyDescent="0.35">
      <c r="G12" t="s">
        <v>132</v>
      </c>
    </row>
    <row r="13" spans="1:22" x14ac:dyDescent="0.35">
      <c r="G13">
        <v>109</v>
      </c>
    </row>
    <row r="15" spans="1:22" x14ac:dyDescent="0.35">
      <c r="A15" s="9" t="s">
        <v>120</v>
      </c>
      <c r="B15" t="s">
        <v>125</v>
      </c>
      <c r="C15" t="s">
        <v>124</v>
      </c>
    </row>
    <row r="16" spans="1:22" x14ac:dyDescent="0.35">
      <c r="A16" s="10" t="s">
        <v>126</v>
      </c>
      <c r="B16">
        <v>3.7636363636363637</v>
      </c>
      <c r="C16" s="1">
        <v>0.48363636363636364</v>
      </c>
    </row>
    <row r="17" spans="1:15" x14ac:dyDescent="0.35">
      <c r="A17" s="10" t="s">
        <v>127</v>
      </c>
      <c r="B17">
        <v>3.9</v>
      </c>
      <c r="C17" s="1">
        <v>0.13500000000000001</v>
      </c>
      <c r="N17" s="9" t="s">
        <v>120</v>
      </c>
      <c r="O17" t="s">
        <v>132</v>
      </c>
    </row>
    <row r="18" spans="1:15" x14ac:dyDescent="0.35">
      <c r="A18" s="10" t="s">
        <v>128</v>
      </c>
      <c r="B18">
        <v>3.8444444444444446</v>
      </c>
      <c r="C18" s="1">
        <v>0.30888888888888888</v>
      </c>
      <c r="G18" t="s">
        <v>136</v>
      </c>
      <c r="N18" s="10" t="s">
        <v>138</v>
      </c>
      <c r="O18">
        <v>17</v>
      </c>
    </row>
    <row r="19" spans="1:15" x14ac:dyDescent="0.35">
      <c r="A19" s="10" t="s">
        <v>121</v>
      </c>
      <c r="B19">
        <v>3.8090909090909091</v>
      </c>
      <c r="C19" s="1">
        <v>0.38045454545454543</v>
      </c>
      <c r="G19">
        <v>112</v>
      </c>
      <c r="N19" s="10" t="s">
        <v>139</v>
      </c>
      <c r="O19">
        <v>54</v>
      </c>
    </row>
    <row r="20" spans="1:15" x14ac:dyDescent="0.35">
      <c r="N20" s="10" t="s">
        <v>140</v>
      </c>
      <c r="O20">
        <v>38</v>
      </c>
    </row>
    <row r="21" spans="1:15" x14ac:dyDescent="0.35">
      <c r="N21" s="10" t="s">
        <v>121</v>
      </c>
      <c r="O21">
        <v>109</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0CD2-CE50-49C7-BDF2-3B3F025BAFFD}">
  <dimension ref="A1"/>
  <sheetViews>
    <sheetView zoomScale="45" workbookViewId="0">
      <selection activeCell="T55" sqref="T55"/>
    </sheetView>
  </sheetViews>
  <sheetFormatPr defaultRowHeight="14.5" x14ac:dyDescent="0.35"/>
  <cols>
    <col min="1" max="16384" width="8.7265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Excel_jumia</vt:lpstr>
      <vt:lpstr>HighReviewProducts</vt:lpstr>
      <vt:lpstr>HighDiscProducts</vt:lpstr>
      <vt:lpstr>HighRated</vt:lpstr>
      <vt:lpstr>LowRated</vt:lpstr>
      <vt:lpstr>Ratings&amp;Reviews{Disc}</vt:lpstr>
      <vt:lpstr>ScatterPlots</vt:lpstr>
      <vt:lpstr>Descriptive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Stacy Shimaka</cp:lastModifiedBy>
  <dcterms:created xsi:type="dcterms:W3CDTF">2026-03-22T16:15:10Z</dcterms:created>
  <dcterms:modified xsi:type="dcterms:W3CDTF">2026-03-24T12:22:05Z</dcterms:modified>
</cp:coreProperties>
</file>